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e582e4d6c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382ede3ed484255"/>
    <x:sheet xmlns:r="http://schemas.openxmlformats.org/officeDocument/2006/relationships" name="Manual journeys" sheetId="2" r:id="Rd310974a7d7d4244"/>
    <x:sheet xmlns:r="http://schemas.openxmlformats.org/officeDocument/2006/relationships" name="Automated checks" sheetId="3" r:id="Re21d1ea86e5e4099"/>
    <x:sheet xmlns:r="http://schemas.openxmlformats.org/officeDocument/2006/relationships" name="Launch steps" sheetId="4" r:id="R1e817f11e8ef46a2"/>
    <x:sheet xmlns:r="http://schemas.openxmlformats.org/officeDocument/2006/relationships" name="Issues decisions" sheetId="5" r:id="R08ecde006fb74ef3"/>
    <x:sheet xmlns:r="http://schemas.openxmlformats.org/officeDocument/2006/relationships" name="Sources and runs" sheetId="6" r:id="R7745ddb18c67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1C2933"/>
      <x:name val="Arial"/>
    </x:font>
    <x:font>
      <x:b/>
      <x:sz val="16"/>
      <x:color rgb="FF17324D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1"/>
      <x:color rgb="FF1C2933"/>
      <x:name val="Arial"/>
    </x:font>
    <x:font>
      <x:b/>
      <x:sz val="17"/>
      <x:color rgb="FF17324D"/>
      <x:name val="Arial"/>
    </x:font>
    <x:font>
      <x:i/>
      <x:sz val="11"/>
      <x:color rgb="FF526579"/>
      <x:name val="Arial"/>
    </x:font>
    <x:font>
      <x:b/>
      <x:sz val="11"/>
      <x:color rgb="FFFFFFFF"/>
      <x:name val="Arial"/>
    </x:font>
    <x:font>
      <x:b/>
      <x:sz val="12"/>
      <x:color rgb="FF835900"/>
      <x:name val="Arial"/>
    </x:font>
    <x:font>
      <x:b/>
      <x:sz val="12"/>
      <x:color rgb="FF17324D"/>
      <x:name val="Arial"/>
    </x:font>
    <x:font>
      <x:b/>
      <x:sz val="15"/>
      <x:color rgb="FF1732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1F6"/>
      </x:patternFill>
    </x:fill>
    <x:fill>
      <x:patternFill patternType="solid">
        <x:fgColor rgb="FFFFF0BD"/>
      </x:patternFill>
    </x:fill>
    <x:fill>
      <x:patternFill patternType="solid">
        <x:fgColor rgb="FFE2F0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1" fillId="2" borderId="0" xfId="0"/>
    <x:xf numFmtId="0" fontId="4" fillId="2" borderId="0" xfId="0"/>
    <x:xf numFmtId="0" fontId="1" fillId="0" borderId="0" xfId="0" applyAlignment="1">
      <x:alignment vertical="center"/>
    </x:xf>
    <x:xf numFmtId="0" fontId="1" fillId="0" borderId="0" xfId="0" applyAlignment="1">
      <x:alignment vertical="center" wrapText="1"/>
    </x:xf>
    <x:xf numFmtId="0" fontId="5" fillId="0" borderId="0" xfId="0"/>
    <x:xf numFmtId="0" fontId="6" fillId="0" borderId="0" xfId="0"/>
    <x:xf numFmtId="0" fontId="7" fillId="0" borderId="0" xfId="0"/>
    <x:xf numFmtId="0" fontId="5" fillId="2" borderId="0" xfId="0"/>
    <x:xf numFmtId="0" fontId="8" fillId="2" borderId="0" xfId="0"/>
    <x:xf numFmtId="0" fontId="5" fillId="3" borderId="0" xfId="0"/>
    <x:xf numFmtId="0" fontId="5" fillId="4" borderId="0" xfId="0"/>
    <x:xf numFmtId="0" fontId="9" fillId="4" borderId="0" xfId="0"/>
    <x:xf numFmtId="0" fontId="10" fillId="0" borderId="0" xfId="0"/>
    <x:xf numFmtId="0" fontId="11" fillId="0" borderId="0" xfId="0"/>
    <x:xf numFmtId="0" fontId="1" fillId="0" borderId="0" xfId="0" applyAlignment="1">
      <x:alignment wrapText="1"/>
    </x:xf>
    <x:xf numFmtId="0" fontId="5" fillId="5" borderId="0" xfId="0"/>
    <x:xf numFmtId="0" fontId="1" fillId="5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</x:cellXfs>
  <x:cellStyles count="1">
    <x:cellStyle name="Normal" xfId="0"/>
  </x:cellStyles>
  <x:dxfs count="12">
    <x:dxf>
      <x:font>
        <x:b/>
        <x:color rgb="FF12623B"/>
      </x:font>
      <x:fill>
        <x:patternFill>
          <x:bgColor rgb="FFDCF2E6"/>
        </x:patternFill>
      </x:fill>
    </x:dxf>
    <x:dxf>
      <x:font>
        <x:b/>
        <x:color rgb="FFA12E2A"/>
      </x:font>
      <x:fill>
        <x:patternFill>
          <x:bgColor rgb="FFF9DDDC"/>
        </x:patternFill>
      </x:fill>
    </x:dxf>
    <x:dxf>
      <x:font>
        <x:b/>
        <x:color rgb="FF835900"/>
      </x:font>
      <x:fill>
        <x:patternFill>
          <x:bgColor rgb="FFFFF0BD"/>
        </x:patternFill>
      </x:fill>
    </x:dxf>
    <x:dxf>
      <x:font>
        <x:b/>
        <x:color rgb="FF536270"/>
      </x:font>
      <x:fill>
        <x:patternFill>
          <x:bgColor rgb="FFE9EDF1"/>
        </x:patternFill>
      </x:fill>
    </x:dxf>
    <x:dxf>
      <x:font>
        <x:b/>
        <x:color rgb="FF12623B"/>
      </x:font>
      <x:fill>
        <x:patternFill>
          <x:bgColor rgb="FFDCF2E6"/>
        </x:patternFill>
      </x:fill>
    </x:dxf>
    <x:dxf>
      <x:font>
        <x:b/>
        <x:color rgb="FFA12E2A"/>
      </x:font>
      <x:fill>
        <x:patternFill>
          <x:bgColor rgb="FFF9DDDC"/>
        </x:patternFill>
      </x:fill>
    </x:dxf>
    <x:dxf>
      <x:font>
        <x:b/>
        <x:color rgb="FF835900"/>
      </x:font>
      <x:fill>
        <x:patternFill>
          <x:bgColor rgb="FFFFF0BD"/>
        </x:patternFill>
      </x:fill>
    </x:dxf>
    <x:dxf>
      <x:font>
        <x:b/>
        <x:color rgb="FF536270"/>
      </x:font>
      <x:fill>
        <x:patternFill>
          <x:bgColor rgb="FFE9EDF1"/>
        </x:patternFill>
      </x:fill>
    </x:dxf>
    <x:dxf>
      <x:font>
        <x:b/>
        <x:color rgb="FF12623B"/>
      </x:font>
      <x:fill>
        <x:patternFill>
          <x:bgColor rgb="FFDCF2E6"/>
        </x:patternFill>
      </x:fill>
    </x:dxf>
    <x:dxf>
      <x:font>
        <x:b/>
        <x:color rgb="FFA12E2A"/>
      </x:font>
      <x:fill>
        <x:patternFill>
          <x:bgColor rgb="FFF9DDDC"/>
        </x:patternFill>
      </x:fill>
    </x:dxf>
    <x:dxf>
      <x:font>
        <x:b/>
        <x:color rgb="FF835900"/>
      </x:font>
      <x:fill>
        <x:patternFill>
          <x:bgColor rgb="FFFFF0BD"/>
        </x:patternFill>
      </x:fill>
    </x:dxf>
    <x:dxf>
      <x:font>
        <x:b/>
        <x:color rgb="FF536270"/>
      </x:font>
      <x:fill>
        <x:patternFill>
          <x:bgColor rgb="FFE9EDF1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5d0a17f06452b" /><Relationship Type="http://schemas.openxmlformats.org/officeDocument/2006/relationships/theme" Target="/xl/theme/theme1.xml" Id="Rbd0d42051e164067" /><Relationship Type="http://schemas.openxmlformats.org/officeDocument/2006/relationships/sharedStrings" Target="/xl/sharedStrings.xml" Id="R60cc606ea2a646cf" /><Relationship Type="http://schemas.openxmlformats.org/officeDocument/2006/relationships/worksheet" Target="/xl/worksheets/sheet1.xml" Id="Re382ede3ed484255" /><Relationship Type="http://schemas.openxmlformats.org/officeDocument/2006/relationships/worksheet" Target="/xl/worksheets/sheet2.xml" Id="Rd310974a7d7d4244" /><Relationship Type="http://schemas.openxmlformats.org/officeDocument/2006/relationships/worksheet" Target="/xl/worksheets/sheet3.xml" Id="Re21d1ea86e5e4099" /><Relationship Type="http://schemas.openxmlformats.org/officeDocument/2006/relationships/worksheet" Target="/xl/worksheets/sheet4.xml" Id="R1e817f11e8ef46a2" /><Relationship Type="http://schemas.openxmlformats.org/officeDocument/2006/relationships/worksheet" Target="/xl/worksheets/sheet5.xml" Id="R08ecde006fb74ef3" /><Relationship Type="http://schemas.openxmlformats.org/officeDocument/2006/relationships/worksheet" Target="/xl/worksheets/sheet6.xml" Id="R7745ddb18c6743ea" /></Relationships>
</file>

<file path=xl/tables/table1.xml><?xml version="1.0" encoding="utf-8"?>
<x:table xmlns:x="http://schemas.openxmlformats.org/spreadsheetml/2006/main" id="1" name="ManualjourneysTable" displayName="ManualjourneysTable" ref="A5:K59" headerRowCount="1" totalsRowCount="0" totalsRowShown="0">
  <x:tableColumns count="11">
    <x:tableColumn id="1" name="ID"/>
    <x:tableColumn id="2" name="Area"/>
    <x:tableColumn id="3" name="Actor"/>
    <x:tableColumn id="4" name="Channel"/>
    <x:tableColumn id="5" name="Action / scenario"/>
    <x:tableColumn id="6" name="Expected result"/>
    <x:tableColumn id="7" name="Priority"/>
    <x:tableColumn id="8" name="Status"/>
    <x:tableColumn id="9" name="Owner"/>
    <x:tableColumn id="10" name="Test date"/>
    <x:tableColumn id="11" name="Evidence / iss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tomatedchecksTable" displayName="AutomatedchecksTable" ref="A5:J36" headerRowCount="1" totalsRowCount="0" totalsRowShown="0">
  <x:tableColumns count="10">
    <x:tableColumn id="1" name="ID"/>
    <x:tableColumn id="2" name="Repository"/>
    <x:tableColumn id="3" name="Check"/>
    <x:tableColumn id="4" name="Expected gate"/>
    <x:tableColumn id="5" name="Prior local evidence"/>
    <x:tableColumn id="6" name="Priority"/>
    <x:tableColumn id="7" name="Status"/>
    <x:tableColumn id="8" name="Owner"/>
    <x:tableColumn id="9" name="Run date"/>
    <x:tableColumn id="10" name="Evidence / iss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unchstepsTable" displayName="LaunchstepsTable" ref="A5:H20" headerRowCount="1" totalsRowCount="0" totalsRowShown="0">
  <x:tableColumns count="8">
    <x:tableColumn id="1" name="ID"/>
    <x:tableColumn id="2" name="Step"/>
    <x:tableColumn id="3" name="Completion evidence"/>
    <x:tableColumn id="4" name="Priority"/>
    <x:tableColumn id="5" name="Status"/>
    <x:tableColumn id="6" name="Owner"/>
    <x:tableColumn id="7" name="Date"/>
    <x:tableColumn id="8" name="Evidence / iss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ssuesanddecisionsTable" displayName="IssuesanddecisionsTable" ref="A5:H16" headerRowCount="1" totalsRowCount="0" totalsRowShown="0">
  <x:tableColumns count="8">
    <x:tableColumn id="1" name="ID"/>
    <x:tableColumn id="2" name="Known issue / boundary"/>
    <x:tableColumn id="3" name="Severity"/>
    <x:tableColumn id="4" name="Status"/>
    <x:tableColumn id="5" name="Next decision or action"/>
    <x:tableColumn id="6" name="Owner"/>
    <x:tableColumn id="7" name="Review date"/>
    <x:tableColumn id="8" name="Evidence / 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71d622dc9f4c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caa76a570746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2509cbc4b34e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83a6cb09944c6f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6" topLeftCell="A7" activePane="bottomLeft" state="frozen"/>
    </x:sheetView>
  </x:sheetViews>
  <x:sheetFormatPr baseColWidth="8" defaultRowHeight="15"/>
  <x:cols>
    <x:col min="1" max="1" width="38" customWidth="1"/>
    <x:col min="2" max="2" width="34" customWidth="1"/>
    <x:col min="3" max="3" width="18" customWidth="1"/>
    <x:col min="4" max="4" width="20" customWidth="1"/>
  </x:cols>
  <x:sheetData>
    <x:row r="2">
      <x:c r="A2" s="9" t="inlineStr">
        <x:is>
          <x:t xml:space="preserve">SHIDA Restaurants &amp; Malewa — release validation</x:t>
        </x:is>
      </x:c>
      <x:c r="B2" s="8" t="n"/>
      <x:c r="C2" s="8" t="n"/>
      <x:c r="D2" s="8" t="n"/>
    </x:row>
    <x:row r="3">
      <x:c r="A3" s="10" t="inlineStr">
        <x:is>
          <x:t xml:space="preserve">Checkpoint: 12 October 2026 | sole Alembic head 0150 | exact source inventory in pilot evidence</x:t>
        </x:is>
      </x:c>
      <x:c r="B3" s="10" t="n"/>
      <x:c r="C3" s="10" t="n"/>
      <x:c r="D3" s="10" t="n"/>
    </x:row>
    <x:row r="4">
      <x:c r="A4" s="10" t="inlineStr">
        <x:is>
          <x:t xml:space="preserve">21/21 local features implemented. Pilot blocked pending live acceptance.</x:t>
        </x:is>
      </x:c>
      <x:c r="B4" s="10" t="n"/>
      <x:c r="C4" s="10" t="n"/>
      <x:c r="D4" s="10" t="n"/>
    </x:row>
    <x:row r="5">
      <x:c r="A5" s="8" t="n"/>
      <x:c r="B5" s="8" t="n"/>
      <x:c r="C5" s="8" t="n"/>
      <x:c r="D5" s="8" t="n"/>
    </x:row>
    <x:row r="6" ht="32" customHeight="1">
      <x:c r="A6" s="12" t="inlineStr">
        <x:is>
          <x:t xml:space="preserve">Gate</x:t>
        </x:is>
      </x:c>
      <x:c r="B6" s="12" t="inlineStr">
        <x:is>
          <x:t xml:space="preserve">Total</x:t>
        </x:is>
      </x:c>
      <x:c r="C6" s="12" t="inlineStr">
        <x:is>
          <x:t xml:space="preserve">Passed</x:t>
        </x:is>
      </x:c>
      <x:c r="D6" s="12" t="inlineStr">
        <x:is>
          <x:t xml:space="preserve">Remaining</x:t>
        </x:is>
      </x:c>
    </x:row>
    <x:row r="7" ht="32" customHeight="1">
      <x:c r="A7" s="8" t="inlineStr">
        <x:is>
          <x:t xml:space="preserve">Manual journeys</x:t>
        </x:is>
      </x:c>
      <x:c r="B7" s="13" t="n">
        <x:f>COUNTA('Manual journeys'!A6:A59)</x:f>
        <x:v>54</x:v>
      </x:c>
      <x:c r="C7" s="13" t="n">
        <x:f>COUNTIF('Manual journeys'!H6:H59,"Pass")</x:f>
        <x:v>0</x:v>
      </x:c>
      <x:c r="D7" s="13" t="n">
        <x:f>B7-C7</x:f>
        <x:v>54</x:v>
      </x:c>
    </x:row>
    <x:row r="8" ht="32" customHeight="1">
      <x:c r="A8" s="8" t="inlineStr">
        <x:is>
          <x:t xml:space="preserve">Historical automation</x:t>
        </x:is>
      </x:c>
      <x:c r="B8" s="13" t="n">
        <x:f>COUNTA('Automated checks'!A6:A36)</x:f>
        <x:v>31</x:v>
      </x:c>
      <x:c r="C8" s="13" t="n">
        <x:f>COUNTIF('Automated checks'!G6:G36,"Pass")</x:f>
        <x:v>18</x:v>
      </x:c>
      <x:c r="D8" s="13" t="n">
        <x:f>B8-C8</x:f>
        <x:v>13</x:v>
      </x:c>
    </x:row>
    <x:row r="9" ht="32" customHeight="1">
      <x:c r="A9" s="8" t="inlineStr">
        <x:is>
          <x:t xml:space="preserve">Launch steps</x:t>
        </x:is>
      </x:c>
      <x:c r="B9" s="13" t="n">
        <x:f>COUNTA('Launch steps'!A6:A20)</x:f>
        <x:v>15</x:v>
      </x:c>
      <x:c r="C9" s="13" t="n">
        <x:f>COUNTIF('Launch steps'!E6:E20,"Pass")</x:f>
        <x:v>0</x:v>
      </x:c>
      <x:c r="D9" s="13" t="n">
        <x:f>B9-C9</x:f>
        <x:v>15</x:v>
      </x:c>
    </x:row>
    <x:row r="10">
      <x:c r="A10" s="8" t="inlineStr">
        <x:is>
          <x:t xml:space="preserve">Restaurant pilot automated gate</x:t>
        </x:is>
      </x:c>
      <x:c r="B10" s="19" t="str">
        <x:f>'Automated checks'!G37</x:f>
        <x:v>Partial</x:v>
      </x:c>
      <x:c r="C10" s="13" t="n"/>
      <x:c r="D10" s="13" t="n"/>
    </x:row>
    <x:row r="11">
      <x:c r="A11" s="8" t="inlineStr">
        <x:is>
          <x:t xml:space="preserve">Blocking issues open</x:t>
        </x:is>
      </x:c>
      <x:c r="B11" s="8" t="n">
        <x:f>COUNTIFS('Issues decisions'!C6:C17,"Blocking",'Issues decisions'!D6:D17,"Open")</x:f>
        <x:v>2</x:v>
      </x:c>
      <x:c r="C11" s="8" t="n"/>
      <x:c r="D11" s="8" t="n"/>
    </x:row>
    <x:row r="12">
      <x:c r="A12" s="8" t="n"/>
      <x:c r="B12" s="8" t="n"/>
      <x:c r="C12" s="8" t="n"/>
      <x:c r="D12" s="8" t="n"/>
    </x:row>
    <x:row r="13" ht="38" customHeight="1">
      <x:c r="A13" s="8" t="inlineStr">
        <x:is>
          <x:t xml:space="preserve">Release status</x:t>
        </x:is>
      </x:c>
      <x:c r="B13" s="15" t="str">
        <x:f>IF(OR(D7&gt;0,D9&gt;0,B11&gt;0,B10&lt;&gt;"Pass"),"Needs validation","Ready for human release decision")</x:f>
        <x:v>Needs validation</x:v>
      </x:c>
      <x:c r="C13" s="8" t="n"/>
      <x:c r="D13" s="8" t="n"/>
    </x:row>
    <x:row r="14">
      <x:c r="A14" s="8" t="n"/>
      <x:c r="B14" s="8" t="n"/>
      <x:c r="C14" s="8" t="n"/>
      <x:c r="D14" s="8" t="n"/>
    </x:row>
    <x:row r="15">
      <x:c r="A15" s="16" t="inlineStr">
        <x:is>
          <x:t xml:space="preserve">How to update</x:t>
        </x:is>
      </x:c>
      <x:c r="B15" s="8" t="n"/>
      <x:c r="C15" s="8" t="n"/>
      <x:c r="D15" s="8" t="n"/>
    </x:row>
    <x:row r="16" ht="27" customHeight="1">
      <x:c r="A16" s="8" t="inlineStr">
        <x:is>
          <x:t xml:space="preserve">1. Run a check. Set Pass, Fail, Blocked or Not applicable; add owner, date and evidence link or issue.</x:t>
        </x:is>
      </x:c>
      <x:c r="B16" s="8" t="n"/>
      <x:c r="C16" s="8" t="n"/>
      <x:c r="D16" s="8" t="n"/>
    </x:row>
    <x:row r="17" ht="27" customHeight="1">
      <x:c r="A17" s="8" t="inlineStr">
        <x:is>
          <x:t xml:space="preserve">2. Resolve blocking issues; use Sources and runs to record environment and exact commit.</x:t>
        </x:is>
      </x:c>
      <x:c r="B17" s="8" t="n"/>
      <x:c r="C17" s="8" t="n"/>
      <x:c r="D17" s="8" t="n"/>
    </x:row>
    <x:row r="18" ht="27" customHeight="1">
      <x:c r="A18" s="8" t="inlineStr">
        <x:is>
          <x:t xml:space="preserve">3. A green count means evidence is complete, not automatic approval to release.</x:t>
        </x:is>
      </x:c>
      <x:c r="B18" s="8" t="n"/>
      <x:c r="C18" s="8" t="n"/>
      <x:c r="D18" s="8" t="n"/>
    </x:row>
    <x:row r="19" ht="27" customHeight="1">
      <x:c r="A19" s="8" t="n"/>
      <x:c r="B19" s="8" t="n"/>
      <x:c r="C19" s="8" t="n"/>
      <x:c r="D19" s="8" t="n"/>
    </x:row>
    <x:row r="20" ht="27" customHeight="1">
      <x:c r="A20" s="16" t="inlineStr">
        <x:is>
          <x:t xml:space="preserve">Current highest-priority work</x:t>
        </x:is>
      </x:c>
      <x:c r="B20" s="8" t="n"/>
      <x:c r="C20" s="8" t="n"/>
      <x:c r="D20" s="8" t="n"/>
    </x:row>
    <x:row r="21" ht="27" customHeight="1">
      <x:c r="A21" s="8" t="inlineStr">
        <x:is>
          <x:t xml:space="preserve">Pilot automation: Pass. Staging, phones, WhatsApp, language review and workday acceptance remain open.</x:t>
        </x:is>
      </x:c>
      <x:c r="B21" s="8" t="n"/>
      <x:c r="C21" s="8" t="n"/>
      <x:c r="D21" s="8" t="n"/>
    </x:row>
    <x:row r="22" ht="27" customHeight="1">
      <x:c r="A22" s="8" t="inlineStr">
        <x:is>
          <x:t xml:space="preserve">Founder scope: historical platform-wide suite remains red, outside this Restaurant pilot gate. No deployment or intake.</x:t>
        </x:is>
      </x:c>
      <x:c r="B22" s="8" t="n"/>
      <x:c r="C22" s="8" t="n"/>
      <x:c r="D22" s="8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7A69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18" customWidth="1"/>
    <x:col min="3" max="3" width="18" customWidth="1"/>
    <x:col min="4" max="4" width="17" customWidth="1"/>
    <x:col min="5" max="5" width="58" customWidth="1"/>
    <x:col min="6" max="6" width="65" customWidth="1"/>
    <x:col min="7" max="7" width="12" customWidth="1"/>
    <x:col min="8" max="8" width="18" customWidth="1"/>
    <x:col min="9" max="9" width="20" customWidth="1"/>
    <x:col min="10" max="10" width="17" customWidth="1"/>
    <x:col min="11" max="11" width="50" customWidth="1"/>
  </x:cols>
  <x:sheetData>
    <x:row r="2">
      <x:c r="A2" s="2" t="inlineStr">
        <x:is>
          <x:t xml:space="preserve">Manual journeys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</x:row>
    <x:row r="3">
      <x:c r="A3" s="3" t="inlineStr">
        <x:is>
          <x:t xml:space="preserve">Use real phones, real staff and controlled stock/money. Enter owner, date and evidence when a check is run.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Area</x:t>
        </x:is>
      </x:c>
      <x:c r="C5" s="5" t="inlineStr">
        <x:is>
          <x:t xml:space="preserve">Actor</x:t>
        </x:is>
      </x:c>
      <x:c r="D5" s="5" t="inlineStr">
        <x:is>
          <x:t xml:space="preserve">Channel</x:t>
        </x:is>
      </x:c>
      <x:c r="E5" s="5" t="inlineStr">
        <x:is>
          <x:t xml:space="preserve">Action / scenario</x:t>
        </x:is>
      </x:c>
      <x:c r="F5" s="5" t="inlineStr">
        <x:is>
          <x:t xml:space="preserve">Expected result</x:t>
        </x:is>
      </x:c>
      <x:c r="G5" s="5" t="inlineStr">
        <x:is>
          <x:t xml:space="preserve">Priority</x:t>
        </x:is>
      </x:c>
      <x:c r="H5" s="5" t="inlineStr">
        <x:is>
          <x:t xml:space="preserve">Status</x:t>
        </x:is>
      </x:c>
      <x:c r="I5" s="5" t="inlineStr">
        <x:is>
          <x:t xml:space="preserve">Owner</x:t>
        </x:is>
      </x:c>
      <x:c r="J5" s="5" t="inlineStr">
        <x:is>
          <x:t xml:space="preserve">Test date</x:t>
        </x:is>
      </x:c>
      <x:c r="K5" s="5" t="inlineStr">
        <x:is>
          <x:t xml:space="preserve">Evidence / issue</x:t>
        </x:is>
      </x:c>
    </x:row>
    <x:row r="6" ht="42" customHeight="1">
      <x:c r="A6" s="6" t="inlineStr">
        <x:is>
          <x:t xml:space="preserve">M01</x:t>
        </x:is>
      </x:c>
      <x:c r="B6" s="28" t="inlineStr">
        <x:is>
          <x:t xml:space="preserve">Setup</x:t>
        </x:is>
      </x:c>
      <x:c r="C6" s="28" t="inlineStr">
        <x:is>
          <x:t xml:space="preserve">Owner</x:t>
        </x:is>
      </x:c>
      <x:c r="D6" s="28" t="inlineStr">
        <x:is>
          <x:t xml:space="preserve">Website</x:t>
        </x:is>
      </x:c>
      <x:c r="E6" s="28" t="inlineStr">
        <x:is>
          <x:t xml:space="preserve">Open a Free Restaurant/Malewa profile, publish menu and general QR.</x:t>
        </x:is>
      </x:c>
      <x:c r="F6" s="28" t="inlineStr">
        <x:is>
          <x:t xml:space="preserve">Public page and menu show the right establishment; no table setup required.</x:t>
        </x:is>
      </x:c>
      <x:c r="G6" s="28" t="inlineStr">
        <x:is>
          <x:t xml:space="preserve">Must</x:t>
        </x:is>
      </x:c>
      <x:c r="H6" s="28" t="inlineStr">
        <x:is>
          <x:t xml:space="preserve">Not run</x:t>
        </x:is>
      </x:c>
      <x:c r="I6" s="28" t="inlineStr">
        <x:is>
          <x:t xml:space="preserve">Pilot lead + Owner</x:t>
        </x:is>
      </x:c>
      <x:c r="J6" s="28" t="str"/>
      <x:c r="K6" s="28" t="inlineStr">
        <x:is>
          <x:t xml:space="preserve">Physical pilot/device/provider acceptance remains to be run; record observed evidence and date.</x:t>
        </x:is>
      </x:c>
    </x:row>
    <x:row r="7" ht="42" customHeight="1">
      <x:c r="A7" s="6" t="inlineStr">
        <x:is>
          <x:t xml:space="preserve">M02</x:t>
        </x:is>
      </x:c>
      <x:c r="B7" s="28" t="inlineStr">
        <x:is>
          <x:t xml:space="preserve">Setup</x:t>
        </x:is>
      </x:c>
      <x:c r="C7" s="28" t="inlineStr">
        <x:is>
          <x:t xml:space="preserve">Owner</x:t>
        </x:is>
      </x:c>
      <x:c r="D7" s="28" t="inlineStr">
        <x:is>
          <x:t xml:space="preserve">Website</x:t>
        </x:is>
      </x:c>
      <x:c r="E7" s="28" t="inlineStr">
        <x:is>
          <x:t xml:space="preserve">Set opening hours and close new order intake.</x:t>
        </x:is>
      </x:c>
      <x:c r="F7" s="28" t="inlineStr">
        <x:is>
          <x:t xml:space="preserve">Closed intake refuses new orders; outstanding orders stay manageable.</x:t>
        </x:is>
      </x:c>
      <x:c r="G7" s="28" t="inlineStr">
        <x:is>
          <x:t xml:space="preserve">Must</x:t>
        </x:is>
      </x:c>
      <x:c r="H7" s="28" t="inlineStr">
        <x:is>
          <x:t xml:space="preserve">Not run</x:t>
        </x:is>
      </x:c>
      <x:c r="I7" s="28" t="inlineStr">
        <x:is>
          <x:t xml:space="preserve">Pilot lead + Owner</x:t>
        </x:is>
      </x:c>
      <x:c r="J7" s="28" t="str"/>
      <x:c r="K7" s="28" t="inlineStr">
        <x:is>
          <x:t xml:space="preserve">Physical pilot/device/provider acceptance remains to be run; record observed evidence and date.</x:t>
        </x:is>
      </x:c>
    </x:row>
    <x:row r="8" ht="42" customHeight="1">
      <x:c r="A8" s="6" t="inlineStr">
        <x:is>
          <x:t xml:space="preserve">M03</x:t>
        </x:is>
      </x:c>
      <x:c r="B8" s="28" t="inlineStr">
        <x:is>
          <x:t xml:space="preserve">Setup</x:t>
        </x:is>
      </x:c>
      <x:c r="C8" s="28" t="inlineStr">
        <x:is>
          <x:t xml:space="preserve">Owner</x:t>
        </x:is>
      </x:c>
      <x:c r="D8" s="28" t="inlineStr">
        <x:is>
          <x:t xml:space="preserve">Website</x:t>
        </x:is>
      </x:c>
      <x:c r="E8" s="28" t="inlineStr">
        <x:is>
          <x:t xml:space="preserve">Compare Free, Personal Pro and Business Pro destinations.</x:t>
        </x:is>
      </x:c>
      <x:c r="F8" s="28" t="inlineStr">
        <x:is>
          <x:t xml:space="preserve">Controls follow the current tier and exact ownership.</x:t>
        </x:is>
      </x:c>
      <x:c r="G8" s="28" t="inlineStr">
        <x:is>
          <x:t xml:space="preserve">Must</x:t>
        </x:is>
      </x:c>
      <x:c r="H8" s="28" t="inlineStr">
        <x:is>
          <x:t xml:space="preserve">Not run</x:t>
        </x:is>
      </x:c>
      <x:c r="I8" s="28" t="inlineStr">
        <x:is>
          <x:t xml:space="preserve">Pilot lead + Owner</x:t>
        </x:is>
      </x:c>
      <x:c r="J8" s="28" t="str"/>
      <x:c r="K8" s="28" t="inlineStr">
        <x:is>
          <x:t xml:space="preserve">Physical pilot/device/provider acceptance remains to be run; record observed evidence and date.</x:t>
        </x:is>
      </x:c>
    </x:row>
    <x:row r="9" ht="42" customHeight="1">
      <x:c r="A9" s="6" t="inlineStr">
        <x:is>
          <x:t xml:space="preserve">M04</x:t>
        </x:is>
      </x:c>
      <x:c r="B9" s="28" t="inlineStr">
        <x:is>
          <x:t xml:space="preserve">Setup</x:t>
        </x:is>
      </x:c>
      <x:c r="C9" s="28" t="inlineStr">
        <x:is>
          <x:t xml:space="preserve">Owner</x:t>
        </x:is>
      </x:c>
      <x:c r="D9" s="28" t="inlineStr">
        <x:is>
          <x:t xml:space="preserve">Dashboard</x:t>
        </x:is>
      </x:c>
      <x:c r="E9" s="28" t="inlineStr">
        <x:is>
          <x:t xml:space="preserve">Grant, change and revoke Service/Kitchen/Bar/Stock/money assignments.</x:t>
        </x:is>
      </x:c>
      <x:c r="F9" s="28" t="inlineStr">
        <x:is>
          <x:t xml:space="preserve">Workers see only assigned establishment and allowed actions; revocation takes effect.</x:t>
        </x:is>
      </x:c>
      <x:c r="G9" s="28" t="inlineStr">
        <x:is>
          <x:t xml:space="preserve">Must</x:t>
        </x:is>
      </x:c>
      <x:c r="H9" s="28" t="inlineStr">
        <x:is>
          <x:t xml:space="preserve">Not run</x:t>
        </x:is>
      </x:c>
      <x:c r="I9" s="28" t="inlineStr">
        <x:is>
          <x:t xml:space="preserve">Pilot lead + Owner</x:t>
        </x:is>
      </x:c>
      <x:c r="J9" s="28" t="str"/>
      <x:c r="K9" s="28" t="inlineStr">
        <x:is>
          <x:t xml:space="preserve">Physical pilot/device/provider acceptance remains to be run; record observed evidence and date.</x:t>
        </x:is>
      </x:c>
    </x:row>
    <x:row r="10" ht="42" customHeight="1">
      <x:c r="A10" s="6" t="inlineStr">
        <x:is>
          <x:t xml:space="preserve">M05</x:t>
        </x:is>
      </x:c>
      <x:c r="B10" s="28" t="inlineStr">
        <x:is>
          <x:t xml:space="preserve">Setup</x:t>
        </x:is>
      </x:c>
      <x:c r="C10" s="28" t="inlineStr">
        <x:is>
          <x:t xml:space="preserve">Owner</x:t>
        </x:is>
      </x:c>
      <x:c r="D10" s="28" t="inlineStr">
        <x:is>
          <x:t xml:space="preserve">Dashboard</x:t>
        </x:is>
      </x:c>
      <x:c r="E10" s="28" t="inlineStr">
        <x:is>
          <x:t xml:space="preserve">Downgrade paid access with unfinished orders and money obligations.</x:t>
        </x:is>
      </x:c>
      <x:c r="F10" s="28" t="inlineStr">
        <x:is>
          <x:t xml:space="preserve">New paid work closes; permitted owner recovery remains available.</x:t>
        </x:is>
      </x:c>
      <x:c r="G10" s="28" t="inlineStr">
        <x:is>
          <x:t xml:space="preserve">Must</x:t>
        </x:is>
      </x:c>
      <x:c r="H10" s="28" t="inlineStr">
        <x:is>
          <x:t xml:space="preserve">Not run</x:t>
        </x:is>
      </x:c>
      <x:c r="I10" s="28" t="inlineStr">
        <x:is>
          <x:t xml:space="preserve">Pilot lead + Owner</x:t>
        </x:is>
      </x:c>
      <x:c r="J10" s="28" t="str"/>
      <x:c r="K10" s="28" t="inlineStr">
        <x:is>
          <x:t xml:space="preserve">Physical pilot/device/provider acceptance remains to be run; record observed evidence and date.</x:t>
        </x:is>
      </x:c>
    </x:row>
    <x:row r="11" ht="42" customHeight="1">
      <x:c r="A11" s="6" t="inlineStr">
        <x:is>
          <x:t xml:space="preserve">M06</x:t>
        </x:is>
      </x:c>
      <x:c r="B11" s="28" t="inlineStr">
        <x:is>
          <x:t xml:space="preserve">Public menu</x:t>
        </x:is>
      </x:c>
      <x:c r="C11" s="28" t="inlineStr">
        <x:is>
          <x:t xml:space="preserve">Customer</x:t>
        </x:is>
      </x:c>
      <x:c r="D11" s="28" t="inlineStr">
        <x:is>
          <x:t xml:space="preserve">Phone web</x:t>
        </x:is>
      </x:c>
      <x:c r="E11" s="28" t="inlineStr">
        <x:is>
          <x:t xml:space="preserve">Open public menu in FR/EN/LN/SW and view food prices.</x:t>
        </x:is>
      </x:c>
      <x:c r="F11" s="28" t="inlineStr">
        <x:is>
          <x:t xml:space="preserve">Names, prices, CDF/USD, availability and wording are understandable.</x:t>
        </x:is>
      </x:c>
      <x:c r="G11" s="28" t="inlineStr">
        <x:is>
          <x:t xml:space="preserve">Must</x:t>
        </x:is>
      </x:c>
      <x:c r="H11" s="28" t="inlineStr">
        <x:is>
          <x:t xml:space="preserve">Not run</x:t>
        </x:is>
      </x:c>
      <x:c r="I11" s="28" t="inlineStr">
        <x:is>
          <x:t xml:space="preserve">Pilot lead + Customer</x:t>
        </x:is>
      </x:c>
      <x:c r="J11" s="28" t="str"/>
      <x:c r="K11" s="28" t="inlineStr">
        <x:is>
          <x:t xml:space="preserve">Physical pilot/device/provider acceptance remains to be run; record observed evidence and date.</x:t>
        </x:is>
      </x:c>
    </x:row>
    <x:row r="12" ht="42" customHeight="1">
      <x:c r="A12" s="6" t="inlineStr">
        <x:is>
          <x:t xml:space="preserve">M07</x:t>
        </x:is>
      </x:c>
      <x:c r="B12" s="28" t="inlineStr">
        <x:is>
          <x:t xml:space="preserve">Public menu</x:t>
        </x:is>
      </x:c>
      <x:c r="C12" s="28" t="inlineStr">
        <x:is>
          <x:t xml:space="preserve">Customer</x:t>
        </x:is>
      </x:c>
      <x:c r="D12" s="28" t="inlineStr">
        <x:is>
          <x:t xml:space="preserve">WhatsApp</x:t>
        </x:is>
      </x:c>
      <x:c r="E12" s="28" t="inlineStr">
        <x:is>
          <x:t xml:space="preserve">Use Restaurant profile/menu path in four languages.</x:t>
        </x:is>
      </x:c>
      <x:c r="F12" s="28" t="inlineStr">
        <x:is>
          <x:t xml:space="preserve">No retired reservation shortcut or prohibited alcoholic-drink promotion appears.</x:t>
        </x:is>
      </x:c>
      <x:c r="G12" s="28" t="inlineStr">
        <x:is>
          <x:t xml:space="preserve">Must</x:t>
        </x:is>
      </x:c>
      <x:c r="H12" s="28" t="inlineStr">
        <x:is>
          <x:t xml:space="preserve">Not run</x:t>
        </x:is>
      </x:c>
      <x:c r="I12" s="28" t="inlineStr">
        <x:is>
          <x:t xml:space="preserve">Pilot lead + Customer</x:t>
        </x:is>
      </x:c>
      <x:c r="J12" s="28" t="str"/>
      <x:c r="K12" s="28" t="inlineStr">
        <x:is>
          <x:t xml:space="preserve">Physical pilot/device/provider acceptance remains to be run; record observed evidence and date.</x:t>
        </x:is>
      </x:c>
    </x:row>
    <x:row r="13" ht="42" customHeight="1">
      <x:c r="A13" s="6" t="inlineStr">
        <x:is>
          <x:t xml:space="preserve">M08</x:t>
        </x:is>
      </x:c>
      <x:c r="B13" s="28" t="inlineStr">
        <x:is>
          <x:t xml:space="preserve">Guest QR</x:t>
        </x:is>
      </x:c>
      <x:c r="C13" s="28" t="inlineStr">
        <x:is>
          <x:t xml:space="preserve">Guest</x:t>
        </x:is>
      </x:c>
      <x:c r="D13" s="28" t="inlineStr">
        <x:is>
          <x:t xml:space="preserve">Phone web</x:t>
        </x:is>
      </x:c>
      <x:c r="E13" s="28" t="inlineStr">
        <x:is>
          <x:t xml:space="preserve">Scan general QR without a SHIDA account and start a visit.</x:t>
        </x:is>
      </x:c>
      <x:c r="F13" s="28" t="inlineStr">
        <x:is>
          <x:t xml:space="preserve">Private visit is created; QR itself exposes no private order.</x:t>
        </x:is>
      </x:c>
      <x:c r="G13" s="28" t="inlineStr">
        <x:is>
          <x:t xml:space="preserve">Must</x:t>
        </x:is>
      </x:c>
      <x:c r="H13" s="28" t="inlineStr">
        <x:is>
          <x:t xml:space="preserve">Not run</x:t>
        </x:is>
      </x:c>
      <x:c r="I13" s="28" t="inlineStr">
        <x:is>
          <x:t xml:space="preserve">Pilot lead + Guest</x:t>
        </x:is>
      </x:c>
      <x:c r="J13" s="28" t="str"/>
      <x:c r="K13" s="28" t="inlineStr">
        <x:is>
          <x:t xml:space="preserve">Physical pilot/device/provider acceptance remains to be run; record observed evidence and date.</x:t>
        </x:is>
      </x:c>
    </x:row>
    <x:row r="14" ht="42" customHeight="1">
      <x:c r="A14" s="6" t="inlineStr">
        <x:is>
          <x:t xml:space="preserve">M09</x:t>
        </x:is>
      </x:c>
      <x:c r="B14" s="28" t="inlineStr">
        <x:is>
          <x:t xml:space="preserve">Guest QR</x:t>
        </x:is>
      </x:c>
      <x:c r="C14" s="28" t="inlineStr">
        <x:is>
          <x:t xml:space="preserve">Guest</x:t>
        </x:is>
      </x:c>
      <x:c r="D14" s="28" t="inlineStr">
        <x:is>
          <x:t xml:space="preserve">Phone web</x:t>
        </x:is>
      </x:c>
      <x:c r="E14" s="28" t="inlineStr">
        <x:is>
          <x:t xml:space="preserve">Quote basket, submit first round, retain visit reference.</x:t>
        </x:is>
      </x:c>
      <x:c r="F14" s="28" t="inlineStr">
        <x:is>
          <x:t xml:space="preserve">One immutable round appears with correct reference, status and currency.</x:t>
        </x:is>
      </x:c>
      <x:c r="G14" s="28" t="inlineStr">
        <x:is>
          <x:t xml:space="preserve">Must</x:t>
        </x:is>
      </x:c>
      <x:c r="H14" s="28" t="inlineStr">
        <x:is>
          <x:t xml:space="preserve">Not run</x:t>
        </x:is>
      </x:c>
      <x:c r="I14" s="28" t="inlineStr">
        <x:is>
          <x:t xml:space="preserve">Pilot lead + Guest</x:t>
        </x:is>
      </x:c>
      <x:c r="J14" s="28" t="str"/>
      <x:c r="K14" s="28" t="inlineStr">
        <x:is>
          <x:t xml:space="preserve">Physical pilot/device/provider acceptance remains to be run; record observed evidence and date.</x:t>
        </x:is>
      </x:c>
    </x:row>
    <x:row r="15" ht="42" customHeight="1">
      <x:c r="A15" s="6" t="inlineStr">
        <x:is>
          <x:t xml:space="preserve">M10</x:t>
        </x:is>
      </x:c>
      <x:c r="B15" s="28" t="inlineStr">
        <x:is>
          <x:t xml:space="preserve">Guest QR</x:t>
        </x:is>
      </x:c>
      <x:c r="C15" s="28" t="inlineStr">
        <x:is>
          <x:t xml:space="preserve">Guest</x:t>
        </x:is>
      </x:c>
      <x:c r="D15" s="28" t="inlineStr">
        <x:is>
          <x:t xml:space="preserve">Phone web</x:t>
        </x:is>
      </x:c>
      <x:c r="E15" s="28" t="inlineStr">
        <x:is>
          <x:t xml:space="preserve">Add a drink as a second round in the same visit.</x:t>
        </x:is>
      </x:c>
      <x:c r="F15" s="28" t="inlineStr">
        <x:is>
          <x:t xml:space="preserve">New order is created; summary shows both rounds and combined eligible totals.</x:t>
        </x:is>
      </x:c>
      <x:c r="G15" s="28" t="inlineStr">
        <x:is>
          <x:t xml:space="preserve">Must</x:t>
        </x:is>
      </x:c>
      <x:c r="H15" s="28" t="inlineStr">
        <x:is>
          <x:t xml:space="preserve">Not run</x:t>
        </x:is>
      </x:c>
      <x:c r="I15" s="28" t="inlineStr">
        <x:is>
          <x:t xml:space="preserve">Pilot lead + Guest</x:t>
        </x:is>
      </x:c>
      <x:c r="J15" s="28" t="str"/>
      <x:c r="K15" s="28" t="inlineStr">
        <x:is>
          <x:t xml:space="preserve">Physical pilot/device/provider acceptance remains to be run; record observed evidence and date.</x:t>
        </x:is>
      </x:c>
    </x:row>
    <x:row r="16" ht="42" customHeight="1">
      <x:c r="A16" s="6" t="inlineStr">
        <x:is>
          <x:t xml:space="preserve">M11</x:t>
        </x:is>
      </x:c>
      <x:c r="B16" s="28" t="inlineStr">
        <x:is>
          <x:t xml:space="preserve">Guest QR</x:t>
        </x:is>
      </x:c>
      <x:c r="C16" s="28" t="inlineStr">
        <x:is>
          <x:t xml:space="preserve">Two guests</x:t>
        </x:is>
      </x:c>
      <x:c r="D16" s="28" t="inlineStr">
        <x:is>
          <x:t xml:space="preserve">Phone web</x:t>
        </x:is>
      </x:c>
      <x:c r="E16" s="28" t="inlineStr">
        <x:is>
          <x:t xml:space="preserve">Order separately from the same general QR or same fixed table.</x:t>
        </x:is>
      </x:c>
      <x:c r="F16" s="28" t="inlineStr">
        <x:is>
          <x:t xml:space="preserve">Visits, bills and private pickup proof remain separate.</x:t>
        </x:is>
      </x:c>
      <x:c r="G16" s="28" t="inlineStr">
        <x:is>
          <x:t xml:space="preserve">Must</x:t>
        </x:is>
      </x:c>
      <x:c r="H16" s="28" t="inlineStr">
        <x:is>
          <x:t xml:space="preserve">Not run</x:t>
        </x:is>
      </x:c>
      <x:c r="I16" s="28" t="inlineStr">
        <x:is>
          <x:t xml:space="preserve">Pilot lead + Two guests</x:t>
        </x:is>
      </x:c>
      <x:c r="J16" s="28" t="str"/>
      <x:c r="K16" s="28" t="inlineStr">
        <x:is>
          <x:t xml:space="preserve">Physical pilot/device/provider acceptance remains to be run; record observed evidence and date.</x:t>
        </x:is>
      </x:c>
    </x:row>
    <x:row r="17" ht="42" customHeight="1">
      <x:c r="A17" s="6" t="inlineStr">
        <x:is>
          <x:t xml:space="preserve">M12</x:t>
        </x:is>
      </x:c>
      <x:c r="B17" s="28" t="inlineStr">
        <x:is>
          <x:t xml:space="preserve">Guest QR</x:t>
        </x:is>
      </x:c>
      <x:c r="C17" s="28" t="inlineStr">
        <x:is>
          <x:t xml:space="preserve">Guest</x:t>
        </x:is>
      </x:c>
      <x:c r="D17" s="28" t="inlineStr">
        <x:is>
          <x:t xml:space="preserve">Phone web</x:t>
        </x:is>
      </x:c>
      <x:c r="E17" s="28" t="inlineStr">
        <x:is>
          <x:t xml:space="preserve">Attempt to open another visit with order number or public QR.</x:t>
        </x:is>
      </x:c>
      <x:c r="F17" s="28" t="inlineStr">
        <x:is>
          <x:t xml:space="preserve">Private details and pickup proof remain inaccessible.</x:t>
        </x:is>
      </x:c>
      <x:c r="G17" s="28" t="inlineStr">
        <x:is>
          <x:t xml:space="preserve">Must</x:t>
        </x:is>
      </x:c>
      <x:c r="H17" s="28" t="inlineStr">
        <x:is>
          <x:t xml:space="preserve">Not run</x:t>
        </x:is>
      </x:c>
      <x:c r="I17" s="28" t="inlineStr">
        <x:is>
          <x:t xml:space="preserve">Pilot lead + Guest</x:t>
        </x:is>
      </x:c>
      <x:c r="J17" s="28" t="str"/>
      <x:c r="K17" s="28" t="inlineStr">
        <x:is>
          <x:t xml:space="preserve">Physical pilot/device/provider acceptance remains to be run; record observed evidence and date.</x:t>
        </x:is>
      </x:c>
    </x:row>
    <x:row r="18" ht="42" customHeight="1">
      <x:c r="A18" s="6" t="inlineStr">
        <x:is>
          <x:t xml:space="preserve">M13</x:t>
        </x:is>
      </x:c>
      <x:c r="B18" s="28" t="inlineStr">
        <x:is>
          <x:t xml:space="preserve">Guest QR</x:t>
        </x:is>
      </x:c>
      <x:c r="C18" s="28" t="inlineStr">
        <x:is>
          <x:t xml:space="preserve">Guest</x:t>
        </x:is>
      </x:c>
      <x:c r="D18" s="28" t="inlineStr">
        <x:is>
          <x:t xml:space="preserve">Phone web</x:t>
        </x:is>
      </x:c>
      <x:c r="E18" s="28" t="inlineStr">
        <x:is>
          <x:t xml:space="preserve">Lose the private visit cookie or switch device.</x:t>
        </x:is>
      </x:c>
      <x:c r="F18" s="28" t="inlineStr">
        <x:is>
          <x:t xml:space="preserve">No unauthorized recovery; supporter can explain the limit.</x:t>
        </x:is>
      </x:c>
      <x:c r="G18" s="28" t="inlineStr">
        <x:is>
          <x:t xml:space="preserve">Must</x:t>
        </x:is>
      </x:c>
      <x:c r="H18" s="28" t="inlineStr">
        <x:is>
          <x:t xml:space="preserve">Not run</x:t>
        </x:is>
      </x:c>
      <x:c r="I18" s="28" t="inlineStr">
        <x:is>
          <x:t xml:space="preserve">Pilot lead + Guest</x:t>
        </x:is>
      </x:c>
      <x:c r="J18" s="28" t="str"/>
      <x:c r="K18" s="28" t="inlineStr">
        <x:is>
          <x:t xml:space="preserve">Physical pilot/device/provider acceptance remains to be run; record observed evidence and date.</x:t>
        </x:is>
      </x:c>
    </x:row>
    <x:row r="19" ht="42" customHeight="1">
      <x:c r="A19" s="6" t="inlineStr">
        <x:is>
          <x:t xml:space="preserve">M14</x:t>
        </x:is>
      </x:c>
      <x:c r="B19" s="28" t="inlineStr">
        <x:is>
          <x:t xml:space="preserve">Guest QR</x:t>
        </x:is>
      </x:c>
      <x:c r="C19" s="28" t="inlineStr">
        <x:is>
          <x:t xml:space="preserve">Guest</x:t>
        </x:is>
      </x:c>
      <x:c r="D19" s="28" t="inlineStr">
        <x:is>
          <x:t xml:space="preserve">Phone web</x:t>
        </x:is>
      </x:c>
      <x:c r="E19" s="28" t="inlineStr">
        <x:is>
          <x:t xml:space="preserve">Use slow connection and retry an uncertain submission.</x:t>
        </x:is>
      </x:c>
      <x:c r="F19" s="28" t="inlineStr">
        <x:is>
          <x:t xml:space="preserve">Exact retry avoids duplicate order and explains final state.</x:t>
        </x:is>
      </x:c>
      <x:c r="G19" s="28" t="inlineStr">
        <x:is>
          <x:t xml:space="preserve">Must</x:t>
        </x:is>
      </x:c>
      <x:c r="H19" s="28" t="inlineStr">
        <x:is>
          <x:t xml:space="preserve">Not run</x:t>
        </x:is>
      </x:c>
      <x:c r="I19" s="28" t="inlineStr">
        <x:is>
          <x:t xml:space="preserve">Pilot lead + Guest</x:t>
        </x:is>
      </x:c>
      <x:c r="J19" s="28" t="str"/>
      <x:c r="K19" s="28" t="inlineStr">
        <x:is>
          <x:t xml:space="preserve">Physical pilot/device/provider acceptance remains to be run; record observed evidence and date.</x:t>
        </x:is>
      </x:c>
    </x:row>
    <x:row r="20" ht="42" customHeight="1">
      <x:c r="A20" s="6" t="inlineStr">
        <x:is>
          <x:t xml:space="preserve">M15</x:t>
        </x:is>
      </x:c>
      <x:c r="B20" s="28" t="inlineStr">
        <x:is>
          <x:t xml:space="preserve">Guest QR</x:t>
        </x:is>
      </x:c>
      <x:c r="C20" s="28" t="inlineStr">
        <x:is>
          <x:t xml:space="preserve">Seller</x:t>
        </x:is>
      </x:c>
      <x:c r="D20" s="28" t="inlineStr">
        <x:is>
          <x:t xml:space="preserve">Owner screen</x:t>
        </x:is>
      </x:c>
      <x:c r="E20" s="28" t="inlineStr">
        <x:is>
          <x:t xml:space="preserve">Accept then reject separate pending guest rounds.</x:t>
        </x:is>
      </x:c>
      <x:c r="F20" s="28" t="inlineStr">
        <x:is>
          <x:t xml:space="preserve">Statuses and totals reflect each actual decision; rejected round is not a completed sale.</x:t>
        </x:is>
      </x:c>
      <x:c r="G20" s="28" t="inlineStr">
        <x:is>
          <x:t xml:space="preserve">Must</x:t>
        </x:is>
      </x:c>
      <x:c r="H20" s="28" t="inlineStr">
        <x:is>
          <x:t xml:space="preserve">Not run</x:t>
        </x:is>
      </x:c>
      <x:c r="I20" s="28" t="inlineStr">
        <x:is>
          <x:t xml:space="preserve">Pilot lead + Seller</x:t>
        </x:is>
      </x:c>
      <x:c r="J20" s="28" t="str"/>
      <x:c r="K20" s="28" t="inlineStr">
        <x:is>
          <x:t xml:space="preserve">Physical pilot/device/provider acceptance remains to be run; record observed evidence and date.</x:t>
        </x:is>
      </x:c>
    </x:row>
    <x:row r="21" ht="42" customHeight="1">
      <x:c r="A21" s="6" t="inlineStr">
        <x:is>
          <x:t xml:space="preserve">M16</x:t>
        </x:is>
      </x:c>
      <x:c r="B21" s="28" t="inlineStr">
        <x:is>
          <x:t xml:space="preserve">Guest QR</x:t>
        </x:is>
      </x:c>
      <x:c r="C21" s="28" t="inlineStr">
        <x:is>
          <x:t xml:space="preserve">Owner</x:t>
        </x:is>
      </x:c>
      <x:c r="D21" s="28" t="inlineStr">
        <x:is>
          <x:t xml:space="preserve">Owner screen</x:t>
        </x:is>
      </x:c>
      <x:c r="E21" s="28" t="inlineStr">
        <x:is>
          <x:t xml:space="preserve">Turn auto-accept off/on and submit valid guest QR order.</x:t>
        </x:is>
      </x:c>
      <x:c r="F21" s="28" t="inlineStr">
        <x:is>
          <x:t xml:space="preserve">Off stays pending; on uses canonical acceptance and stock reservation.</x:t>
        </x:is>
      </x:c>
      <x:c r="G21" s="28" t="inlineStr">
        <x:is>
          <x:t xml:space="preserve">Must</x:t>
        </x:is>
      </x:c>
      <x:c r="H21" s="28" t="inlineStr">
        <x:is>
          <x:t xml:space="preserve">Not run</x:t>
        </x:is>
      </x:c>
      <x:c r="I21" s="28" t="inlineStr">
        <x:is>
          <x:t xml:space="preserve">Pilot lead + Owner</x:t>
        </x:is>
      </x:c>
      <x:c r="J21" s="28" t="str"/>
      <x:c r="K21" s="28" t="inlineStr">
        <x:is>
          <x:t xml:space="preserve">Physical pilot/device/provider acceptance remains to be run; record observed evidence and date.</x:t>
        </x:is>
      </x:c>
    </x:row>
    <x:row r="22" ht="42" customHeight="1">
      <x:c r="A22" s="6" t="inlineStr">
        <x:is>
          <x:t xml:space="preserve">M17</x:t>
        </x:is>
      </x:c>
      <x:c r="B22" s="28" t="inlineStr">
        <x:is>
          <x:t xml:space="preserve">Guest QR</x:t>
        </x:is>
      </x:c>
      <x:c r="C22" s="28" t="inlineStr">
        <x:is>
          <x:t xml:space="preserve">Owner</x:t>
        </x:is>
      </x:c>
      <x:c r="D22" s="28" t="inlineStr">
        <x:is>
          <x:t xml:space="preserve">Owner screen</x:t>
        </x:is>
      </x:c>
      <x:c r="E22" s="28" t="inlineStr">
        <x:is>
          <x:t xml:space="preserve">Submit with auto-accept on but insufficient stock.</x:t>
        </x:is>
      </x:c>
      <x:c r="F22" s="28" t="inlineStr">
        <x:is>
          <x:t xml:space="preserve">Order remains pending for seller decision; no false acceptance.</x:t>
        </x:is>
      </x:c>
      <x:c r="G22" s="28" t="inlineStr">
        <x:is>
          <x:t xml:space="preserve">Must</x:t>
        </x:is>
      </x:c>
      <x:c r="H22" s="28" t="inlineStr">
        <x:is>
          <x:t xml:space="preserve">Not run</x:t>
        </x:is>
      </x:c>
      <x:c r="I22" s="28" t="inlineStr">
        <x:is>
          <x:t xml:space="preserve">Pilot lead + Owner</x:t>
        </x:is>
      </x:c>
      <x:c r="J22" s="28" t="str"/>
      <x:c r="K22" s="28" t="inlineStr">
        <x:is>
          <x:t xml:space="preserve">Physical pilot/device/provider acceptance remains to be run; record observed evidence and date.</x:t>
        </x:is>
      </x:c>
    </x:row>
    <x:row r="23" ht="42" customHeight="1">
      <x:c r="A23" s="6" t="inlineStr">
        <x:is>
          <x:t xml:space="preserve">M18</x:t>
        </x:is>
      </x:c>
      <x:c r="B23" s="28" t="inlineStr">
        <x:is>
          <x:t xml:space="preserve">Guest QR</x:t>
        </x:is>
      </x:c>
      <x:c r="C23" s="28" t="inlineStr">
        <x:is>
          <x:t xml:space="preserve">Guest</x:t>
        </x:is>
      </x:c>
      <x:c r="D23" s="28" t="inlineStr">
        <x:is>
          <x:t xml:space="preserve">Phone web</x:t>
        </x:is>
      </x:c>
      <x:c r="E23" s="28" t="inlineStr">
        <x:is>
          <x:t xml:space="preserve">Cancel eligible round and inspect summary.</x:t>
        </x:is>
      </x:c>
      <x:c r="F23" s="28" t="inlineStr">
        <x:is>
          <x:t xml:space="preserve">Cancelled status and totals remain truthful.</x:t>
        </x:is>
      </x:c>
      <x:c r="G23" s="28" t="inlineStr">
        <x:is>
          <x:t xml:space="preserve">Must</x:t>
        </x:is>
      </x:c>
      <x:c r="H23" s="28" t="inlineStr">
        <x:is>
          <x:t xml:space="preserve">Not run</x:t>
        </x:is>
      </x:c>
      <x:c r="I23" s="28" t="inlineStr">
        <x:is>
          <x:t xml:space="preserve">Pilot lead + Guest</x:t>
        </x:is>
      </x:c>
      <x:c r="J23" s="28" t="str"/>
      <x:c r="K23" s="28" t="inlineStr">
        <x:is>
          <x:t xml:space="preserve">Physical pilot/device/provider acceptance remains to be run; record observed evidence and date.</x:t>
        </x:is>
      </x:c>
    </x:row>
    <x:row r="24" ht="42" customHeight="1">
      <x:c r="A24" s="6" t="inlineStr">
        <x:is>
          <x:t xml:space="preserve">M19</x:t>
        </x:is>
      </x:c>
      <x:c r="B24" s="28" t="inlineStr">
        <x:is>
          <x:t xml:space="preserve">Pickup</x:t>
        </x:is>
      </x:c>
      <x:c r="C24" s="28" t="inlineStr">
        <x:is>
          <x:t xml:space="preserve">Guest</x:t>
        </x:is>
      </x:c>
      <x:c r="D24" s="28" t="inlineStr">
        <x:is>
          <x:t xml:space="preserve">Phone web</x:t>
        </x:is>
      </x:c>
      <x:c r="E24" s="28" t="inlineStr">
        <x:is>
          <x:t xml:space="preserve">Request ready-only private pickup code, then collect.</x:t>
        </x:is>
      </x:c>
      <x:c r="F24" s="28" t="inlineStr">
        <x:is>
          <x:t xml:space="preserve">Code appears only when ready; order number alone never proves pickup.</x:t>
        </x:is>
      </x:c>
      <x:c r="G24" s="28" t="inlineStr">
        <x:is>
          <x:t xml:space="preserve">Must</x:t>
        </x:is>
      </x:c>
      <x:c r="H24" s="28" t="inlineStr">
        <x:is>
          <x:t xml:space="preserve">Not run</x:t>
        </x:is>
      </x:c>
      <x:c r="I24" s="28" t="inlineStr">
        <x:is>
          <x:t xml:space="preserve">Pilot lead + Guest</x:t>
        </x:is>
      </x:c>
      <x:c r="J24" s="28" t="str"/>
      <x:c r="K24" s="28" t="inlineStr">
        <x:is>
          <x:t xml:space="preserve">Physical pilot/device/provider acceptance remains to be run; record observed evidence and date.</x:t>
        </x:is>
      </x:c>
    </x:row>
    <x:row r="25" ht="42" customHeight="1">
      <x:c r="A25" s="6" t="inlineStr">
        <x:is>
          <x:t xml:space="preserve">M20</x:t>
        </x:is>
      </x:c>
      <x:c r="B25" s="28" t="inlineStr">
        <x:is>
          <x:t xml:space="preserve">Pickup</x:t>
        </x:is>
      </x:c>
      <x:c r="C25" s="28" t="inlineStr">
        <x:is>
          <x:t xml:space="preserve">Worker</x:t>
        </x:is>
      </x:c>
      <x:c r="D25" s="28" t="inlineStr">
        <x:is>
          <x:t xml:space="preserve">Dashboard</x:t>
        </x:is>
      </x:c>
      <x:c r="E25" s="28" t="inlineStr">
        <x:is>
          <x:t xml:space="preserve">Attempt pickup without private proof or correct authority.</x:t>
        </x:is>
      </x:c>
      <x:c r="F25" s="28" t="inlineStr">
        <x:is>
          <x:t xml:space="preserve">Handover is refused; legitimate proof works once.</x:t>
        </x:is>
      </x:c>
      <x:c r="G25" s="28" t="inlineStr">
        <x:is>
          <x:t xml:space="preserve">Must</x:t>
        </x:is>
      </x:c>
      <x:c r="H25" s="28" t="inlineStr">
        <x:is>
          <x:t xml:space="preserve">Not run</x:t>
        </x:is>
      </x:c>
      <x:c r="I25" s="28" t="inlineStr">
        <x:is>
          <x:t xml:space="preserve">Pilot lead + Worker</x:t>
        </x:is>
      </x:c>
      <x:c r="J25" s="28" t="str"/>
      <x:c r="K25" s="28" t="inlineStr">
        <x:is>
          <x:t xml:space="preserve">Physical pilot/device/provider acceptance remains to be run; record observed evidence and date.</x:t>
        </x:is>
      </x:c>
    </x:row>
    <x:row r="26" ht="42" customHeight="1">
      <x:c r="A26" s="6" t="inlineStr">
        <x:is>
          <x:t xml:space="preserve">M21</x:t>
        </x:is>
      </x:c>
      <x:c r="B26" s="28" t="inlineStr">
        <x:is>
          <x:t xml:space="preserve">Fixed tables</x:t>
        </x:is>
      </x:c>
      <x:c r="C26" s="28" t="inlineStr">
        <x:is>
          <x:t xml:space="preserve">Owner/Admin</x:t>
        </x:is>
      </x:c>
      <x:c r="D26" s="28" t="inlineStr">
        <x:is>
          <x:t xml:space="preserve">Dashboard</x:t>
        </x:is>
      </x:c>
      <x:c r="E26" s="28" t="inlineStr">
        <x:is>
          <x:t xml:space="preserve">Create and label a fixed table; print/share table QR.</x:t>
        </x:is>
      </x:c>
      <x:c r="F26" s="28" t="inlineStr">
        <x:is>
          <x:t xml:space="preserve">Exact label and QR work; general QR still works.</x:t>
        </x:is>
      </x:c>
      <x:c r="G26" s="28" t="inlineStr">
        <x:is>
          <x:t xml:space="preserve">Must</x:t>
        </x:is>
      </x:c>
      <x:c r="H26" s="28" t="inlineStr">
        <x:is>
          <x:t xml:space="preserve">Not run</x:t>
        </x:is>
      </x:c>
      <x:c r="I26" s="28" t="inlineStr">
        <x:is>
          <x:t xml:space="preserve">Pilot lead + Owner/Admin</x:t>
        </x:is>
      </x:c>
      <x:c r="J26" s="28" t="str"/>
      <x:c r="K26" s="28" t="inlineStr">
        <x:is>
          <x:t xml:space="preserve">Physical pilot/device/provider acceptance remains to be run; record observed evidence and date.</x:t>
        </x:is>
      </x:c>
    </x:row>
    <x:row r="27" ht="42" customHeight="1">
      <x:c r="A27" s="6" t="inlineStr">
        <x:is>
          <x:t xml:space="preserve">M22</x:t>
        </x:is>
      </x:c>
      <x:c r="B27" s="28" t="inlineStr">
        <x:is>
          <x:t xml:space="preserve">Fixed tables</x:t>
        </x:is>
      </x:c>
      <x:c r="C27" s="28" t="inlineStr">
        <x:is>
          <x:t xml:space="preserve">Owner/Admin</x:t>
        </x:is>
      </x:c>
      <x:c r="D27" s="28" t="inlineStr">
        <x:is>
          <x:t xml:space="preserve">Dashboard</x:t>
        </x:is>
      </x:c>
      <x:c r="E27" s="28" t="inlineStr">
        <x:is>
          <x:t xml:space="preserve">Rotate table QR then retire table.</x:t>
        </x:is>
      </x:c>
      <x:c r="F27" s="28" t="inlineStr">
        <x:is>
          <x:t xml:space="preserve">Old QR cannot start a new table visit; existing rounds retain label.</x:t>
        </x:is>
      </x:c>
      <x:c r="G27" s="28" t="inlineStr">
        <x:is>
          <x:t xml:space="preserve">Must</x:t>
        </x:is>
      </x:c>
      <x:c r="H27" s="28" t="inlineStr">
        <x:is>
          <x:t xml:space="preserve">Not run</x:t>
        </x:is>
      </x:c>
      <x:c r="I27" s="28" t="inlineStr">
        <x:is>
          <x:t xml:space="preserve">Pilot lead + Owner/Admin</x:t>
        </x:is>
      </x:c>
      <x:c r="J27" s="28" t="str"/>
      <x:c r="K27" s="28" t="inlineStr">
        <x:is>
          <x:t xml:space="preserve">Physical pilot/device/provider acceptance remains to be run; record observed evidence and date.</x:t>
        </x:is>
      </x:c>
    </x:row>
    <x:row r="28" ht="42" customHeight="1">
      <x:c r="A28" s="6" t="inlineStr">
        <x:is>
          <x:t xml:space="preserve">M23</x:t>
        </x:is>
      </x:c>
      <x:c r="B28" s="28" t="inlineStr">
        <x:is>
          <x:t xml:space="preserve">Fixed tables</x:t>
        </x:is>
      </x:c>
      <x:c r="C28" s="28" t="inlineStr">
        <x:is>
          <x:t xml:space="preserve">Guest</x:t>
        </x:is>
      </x:c>
      <x:c r="D28" s="28" t="inlineStr">
        <x:is>
          <x:t xml:space="preserve">Phone web</x:t>
        </x:is>
      </x:c>
      <x:c r="E28" s="28" t="inlineStr">
        <x:is>
          <x:t xml:space="preserve">Order twice from table QR and receive table delivery.</x:t>
        </x:is>
      </x:c>
      <x:c r="F28" s="28" t="inlineStr">
        <x:is>
          <x:t xml:space="preserve">Both immutable rounds stay in private visit; handover is attributed.</x:t>
        </x:is>
      </x:c>
      <x:c r="G28" s="28" t="inlineStr">
        <x:is>
          <x:t xml:space="preserve">Must</x:t>
        </x:is>
      </x:c>
      <x:c r="H28" s="28" t="inlineStr">
        <x:is>
          <x:t xml:space="preserve">Not run</x:t>
        </x:is>
      </x:c>
      <x:c r="I28" s="28" t="inlineStr">
        <x:is>
          <x:t xml:space="preserve">Pilot lead + Guest</x:t>
        </x:is>
      </x:c>
      <x:c r="J28" s="28" t="str"/>
      <x:c r="K28" s="28" t="inlineStr">
        <x:is>
          <x:t xml:space="preserve">Physical pilot/device/provider acceptance remains to be run; record observed evidence and date.</x:t>
        </x:is>
      </x:c>
    </x:row>
    <x:row r="29" ht="42" customHeight="1">
      <x:c r="A29" s="6" t="inlineStr">
        <x:is>
          <x:t xml:space="preserve">M24</x:t>
        </x:is>
      </x:c>
      <x:c r="B29" s="28" t="inlineStr">
        <x:is>
          <x:t xml:space="preserve">Fixed tables</x:t>
        </x:is>
      </x:c>
      <x:c r="C29" s="28" t="inlineStr">
        <x:is>
          <x:t xml:space="preserve">Owner</x:t>
        </x:is>
      </x:c>
      <x:c r="D29" s="28" t="inlineStr">
        <x:is>
          <x:t xml:space="preserve">Dashboard</x:t>
        </x:is>
      </x:c>
      <x:c r="E29" s="28" t="inlineStr">
        <x:is>
          <x:t xml:space="preserve">Check Free/Personal and staff cannot manage paid Business tables.</x:t>
        </x:is>
      </x:c>
      <x:c r="F29" s="28" t="inlineStr">
        <x:is>
          <x:t xml:space="preserve">Controls and protected actions are denied.</x:t>
        </x:is>
      </x:c>
      <x:c r="G29" s="28" t="inlineStr">
        <x:is>
          <x:t xml:space="preserve">Must</x:t>
        </x:is>
      </x:c>
      <x:c r="H29" s="28" t="inlineStr">
        <x:is>
          <x:t xml:space="preserve">Not run</x:t>
        </x:is>
      </x:c>
      <x:c r="I29" s="28" t="inlineStr">
        <x:is>
          <x:t xml:space="preserve">Pilot lead + Owner</x:t>
        </x:is>
      </x:c>
      <x:c r="J29" s="28" t="str"/>
      <x:c r="K29" s="28" t="inlineStr">
        <x:is>
          <x:t xml:space="preserve">Physical pilot/device/provider acceptance remains to be run; record observed evidence and date.</x:t>
        </x:is>
      </x:c>
    </x:row>
    <x:row r="30" ht="42" customHeight="1">
      <x:c r="A30" s="6" t="inlineStr">
        <x:is>
          <x:t xml:space="preserve">M25</x:t>
        </x:is>
      </x:c>
      <x:c r="B30" s="28" t="inlineStr">
        <x:is>
          <x:t xml:space="preserve">Service</x:t>
        </x:is>
      </x:c>
      <x:c r="C30" s="28" t="inlineStr">
        <x:is>
          <x:t xml:space="preserve">Waiter</x:t>
        </x:is>
      </x:c>
      <x:c r="D30" s="28" t="inlineStr">
        <x:is>
          <x:t xml:space="preserve">Dashboard</x:t>
        </x:is>
      </x:c>
      <x:c r="E30" s="28" t="inlineStr">
        <x:is>
          <x:t xml:space="preserve">Take an assisted order and attest physical handover.</x:t>
        </x:is>
      </x:c>
      <x:c r="F30" s="28" t="inlineStr">
        <x:is>
          <x:t xml:space="preserve">Accepted order enters preparation; handover happens only when ready.</x:t>
        </x:is>
      </x:c>
      <x:c r="G30" s="28" t="inlineStr">
        <x:is>
          <x:t xml:space="preserve">Must</x:t>
        </x:is>
      </x:c>
      <x:c r="H30" s="28" t="inlineStr">
        <x:is>
          <x:t xml:space="preserve">Not run</x:t>
        </x:is>
      </x:c>
      <x:c r="I30" s="28" t="inlineStr">
        <x:is>
          <x:t xml:space="preserve">Pilot lead + Waiter</x:t>
        </x:is>
      </x:c>
      <x:c r="J30" s="28" t="str"/>
      <x:c r="K30" s="28" t="inlineStr">
        <x:is>
          <x:t xml:space="preserve">Physical pilot/device/provider acceptance remains to be run; record observed evidence and date.</x:t>
        </x:is>
      </x:c>
    </x:row>
    <x:row r="31" ht="42" customHeight="1">
      <x:c r="A31" s="6" t="inlineStr">
        <x:is>
          <x:t xml:space="preserve">M26</x:t>
        </x:is>
      </x:c>
      <x:c r="B31" s="28" t="inlineStr">
        <x:is>
          <x:t xml:space="preserve">Service</x:t>
        </x:is>
      </x:c>
      <x:c r="C31" s="28" t="inlineStr">
        <x:is>
          <x:t xml:space="preserve">Waiter</x:t>
        </x:is>
      </x:c>
      <x:c r="D31" s="28" t="inlineStr">
        <x:is>
          <x:t xml:space="preserve">Dashboard</x:t>
        </x:is>
      </x:c>
      <x:c r="E31" s="28" t="inlineStr">
        <x:is>
          <x:t xml:space="preserve">Ask guest to approve association with private visit.</x:t>
        </x:is>
      </x:c>
      <x:c r="F31" s="28" t="inlineStr">
        <x:is>
          <x:t xml:space="preserve">Only the consenting guest visit is linked; no automatic shared bill.</x:t>
        </x:is>
      </x:c>
      <x:c r="G31" s="28" t="inlineStr">
        <x:is>
          <x:t xml:space="preserve">Must</x:t>
        </x:is>
      </x:c>
      <x:c r="H31" s="28" t="inlineStr">
        <x:is>
          <x:t xml:space="preserve">Not run</x:t>
        </x:is>
      </x:c>
      <x:c r="I31" s="28" t="inlineStr">
        <x:is>
          <x:t xml:space="preserve">Pilot lead + Waiter</x:t>
        </x:is>
      </x:c>
      <x:c r="J31" s="28" t="str"/>
      <x:c r="K31" s="28" t="inlineStr">
        <x:is>
          <x:t xml:space="preserve">Physical pilot/device/provider acceptance remains to be run; record observed evidence and date.</x:t>
        </x:is>
      </x:c>
    </x:row>
    <x:row r="32" ht="42" customHeight="1">
      <x:c r="A32" s="6" t="inlineStr">
        <x:is>
          <x:t xml:space="preserve">M27</x:t>
        </x:is>
      </x:c>
      <x:c r="B32" s="28" t="inlineStr">
        <x:is>
          <x:t xml:space="preserve">Service</x:t>
        </x:is>
      </x:c>
      <x:c r="C32" s="28" t="inlineStr">
        <x:is>
          <x:t xml:space="preserve">Waiter</x:t>
        </x:is>
      </x:c>
      <x:c r="D32" s="28" t="inlineStr">
        <x:is>
          <x:t xml:space="preserve">Dashboard</x:t>
        </x:is>
      </x:c>
      <x:c r="E32" s="28" t="inlineStr">
        <x:is>
          <x:t xml:space="preserve">Use same Service screen to record declared cash/mobile-money payment.</x:t>
        </x:is>
      </x:c>
      <x:c r="F32" s="28" t="inlineStr">
        <x:is>
          <x:t xml:space="preserve">Correct method and CDF/USD allocation are recorded; no provider verification claim.</x:t>
        </x:is>
      </x:c>
      <x:c r="G32" s="28" t="inlineStr">
        <x:is>
          <x:t xml:space="preserve">Must</x:t>
        </x:is>
      </x:c>
      <x:c r="H32" s="28" t="inlineStr">
        <x:is>
          <x:t xml:space="preserve">Not run</x:t>
        </x:is>
      </x:c>
      <x:c r="I32" s="28" t="inlineStr">
        <x:is>
          <x:t xml:space="preserve">Pilot lead + Waiter</x:t>
        </x:is>
      </x:c>
      <x:c r="J32" s="28" t="str"/>
      <x:c r="K32" s="28" t="inlineStr">
        <x:is>
          <x:t xml:space="preserve">Physical pilot/device/provider acceptance remains to be run; record observed evidence and date.</x:t>
        </x:is>
      </x:c>
    </x:row>
    <x:row r="33" ht="42" customHeight="1">
      <x:c r="A33" s="6" t="inlineStr">
        <x:is>
          <x:t xml:space="preserve">M28</x:t>
        </x:is>
      </x:c>
      <x:c r="B33" s="28" t="inlineStr">
        <x:is>
          <x:t xml:space="preserve">Service</x:t>
        </x:is>
      </x:c>
      <x:c r="C33" s="28" t="inlineStr">
        <x:is>
          <x:t xml:space="preserve">Waiter</x:t>
        </x:is>
      </x:c>
      <x:c r="D33" s="28" t="inlineStr">
        <x:is>
          <x:t xml:space="preserve">Dashboard</x:t>
        </x:is>
      </x:c>
      <x:c r="E33" s="28" t="inlineStr">
        <x:is>
          <x:t xml:space="preserve">Retry uncertain payment with identical request.</x:t>
        </x:is>
      </x:c>
      <x:c r="F33" s="28" t="inlineStr">
        <x:is>
          <x:t xml:space="preserve">No duplicate money record; changed request is rejected.</x:t>
        </x:is>
      </x:c>
      <x:c r="G33" s="28" t="inlineStr">
        <x:is>
          <x:t xml:space="preserve">Must</x:t>
        </x:is>
      </x:c>
      <x:c r="H33" s="28" t="inlineStr">
        <x:is>
          <x:t xml:space="preserve">Not run</x:t>
        </x:is>
      </x:c>
      <x:c r="I33" s="28" t="inlineStr">
        <x:is>
          <x:t xml:space="preserve">Pilot lead + Waiter</x:t>
        </x:is>
      </x:c>
      <x:c r="J33" s="28" t="str"/>
      <x:c r="K33" s="28" t="inlineStr">
        <x:is>
          <x:t xml:space="preserve">Physical pilot/device/provider acceptance remains to be run; record observed evidence and date.</x:t>
        </x:is>
      </x:c>
    </x:row>
    <x:row r="34" ht="42" customHeight="1">
      <x:c r="A34" s="6" t="inlineStr">
        <x:is>
          <x:t xml:space="preserve">M29</x:t>
        </x:is>
      </x:c>
      <x:c r="B34" s="28" t="inlineStr">
        <x:is>
          <x:t xml:space="preserve">Preparation</x:t>
        </x:is>
      </x:c>
      <x:c r="C34" s="28" t="inlineStr">
        <x:is>
          <x:t xml:space="preserve">Kitchen/Bar</x:t>
        </x:is>
      </x:c>
      <x:c r="D34" s="28" t="inlineStr">
        <x:is>
          <x:t xml:space="preserve">Dashboard</x:t>
        </x:is>
      </x:c>
      <x:c r="E34" s="28" t="inlineStr">
        <x:is>
          <x:t xml:space="preserve">Process food and non-alcoholic drink station lines separately.</x:t>
        </x:is>
      </x:c>
      <x:c r="F34" s="28" t="inlineStr">
        <x:is>
          <x:t xml:space="preserve">Correct station sees assigned lines; whole order ready only when all required lines ready.</x:t>
        </x:is>
      </x:c>
      <x:c r="G34" s="28" t="inlineStr">
        <x:is>
          <x:t xml:space="preserve">Must</x:t>
        </x:is>
      </x:c>
      <x:c r="H34" s="28" t="inlineStr">
        <x:is>
          <x:t xml:space="preserve">Not run</x:t>
        </x:is>
      </x:c>
      <x:c r="I34" s="28" t="inlineStr">
        <x:is>
          <x:t xml:space="preserve">Pilot lead + Kitchen/Bar</x:t>
        </x:is>
      </x:c>
      <x:c r="J34" s="28" t="str"/>
      <x:c r="K34" s="28" t="inlineStr">
        <x:is>
          <x:t xml:space="preserve">Physical pilot/device/provider acceptance remains to be run; record observed evidence and date.</x:t>
        </x:is>
      </x:c>
    </x:row>
    <x:row r="35" ht="42" customHeight="1">
      <x:c r="A35" s="6" t="inlineStr">
        <x:is>
          <x:t xml:space="preserve">M30</x:t>
        </x:is>
      </x:c>
      <x:c r="B35" s="28" t="inlineStr">
        <x:is>
          <x:t xml:space="preserve">Preparation</x:t>
        </x:is>
      </x:c>
      <x:c r="C35" s="28" t="inlineStr">
        <x:is>
          <x:t xml:space="preserve">Owner</x:t>
        </x:is>
      </x:c>
      <x:c r="D35" s="28" t="inlineStr">
        <x:is>
          <x:t xml:space="preserve">Dashboard</x:t>
        </x:is>
      </x:c>
      <x:c r="E35" s="28" t="inlineStr">
        <x:is>
          <x:t xml:space="preserve">Recover blocked preparation after worker access loss.</x:t>
        </x:is>
      </x:c>
      <x:c r="F35" s="28" t="inlineStr">
        <x:is>
          <x:t xml:space="preserve">Recovery is attributed; no unauthorized station access.</x:t>
        </x:is>
      </x:c>
      <x:c r="G35" s="28" t="inlineStr">
        <x:is>
          <x:t xml:space="preserve">Must</x:t>
        </x:is>
      </x:c>
      <x:c r="H35" s="28" t="inlineStr">
        <x:is>
          <x:t xml:space="preserve">Not run</x:t>
        </x:is>
      </x:c>
      <x:c r="I35" s="28" t="inlineStr">
        <x:is>
          <x:t xml:space="preserve">Pilot lead + Owner</x:t>
        </x:is>
      </x:c>
      <x:c r="J35" s="28" t="str"/>
      <x:c r="K35" s="28" t="inlineStr">
        <x:is>
          <x:t xml:space="preserve">Physical pilot/device/provider acceptance remains to be run; record observed evidence and date.</x:t>
        </x:is>
      </x:c>
    </x:row>
    <x:row r="36" ht="42" customHeight="1">
      <x:c r="A36" s="6" t="inlineStr">
        <x:is>
          <x:t xml:space="preserve">M31</x:t>
        </x:is>
      </x:c>
      <x:c r="B36" s="28" t="inlineStr">
        <x:is>
          <x:t xml:space="preserve">Stock</x:t>
        </x:is>
      </x:c>
      <x:c r="C36" s="28" t="inlineStr">
        <x:is>
          <x:t xml:space="preserve">Stock worker</x:t>
        </x:is>
      </x:c>
      <x:c r="D36" s="28" t="inlineStr">
        <x:is>
          <x:t xml:space="preserve">Dashboard</x:t>
        </x:is>
      </x:c>
      <x:c r="E36" s="28" t="inlineStr">
        <x:is>
          <x:t xml:space="preserve">Receive countable stock and record ingredient use in units/kg.</x:t>
        </x:is>
      </x:c>
      <x:c r="F36" s="28" t="inlineStr">
        <x:is>
          <x:t xml:space="preserve">Quantities and audit match actual entries; no automatic recipe deduction claim.</x:t>
        </x:is>
      </x:c>
      <x:c r="G36" s="28" t="inlineStr">
        <x:is>
          <x:t xml:space="preserve">Must</x:t>
        </x:is>
      </x:c>
      <x:c r="H36" s="28" t="inlineStr">
        <x:is>
          <x:t xml:space="preserve">Not run</x:t>
        </x:is>
      </x:c>
      <x:c r="I36" s="28" t="inlineStr">
        <x:is>
          <x:t xml:space="preserve">Pilot lead + Stock worker</x:t>
        </x:is>
      </x:c>
      <x:c r="J36" s="28" t="str"/>
      <x:c r="K36" s="28" t="inlineStr">
        <x:is>
          <x:t xml:space="preserve">Physical pilot/device/provider acceptance remains to be run; record observed evidence and date.</x:t>
        </x:is>
      </x:c>
    </x:row>
    <x:row r="37" ht="42" customHeight="1">
      <x:c r="A37" s="6" t="inlineStr">
        <x:is>
          <x:t xml:space="preserve">M32</x:t>
        </x:is>
      </x:c>
      <x:c r="B37" s="28" t="inlineStr">
        <x:is>
          <x:t xml:space="preserve">Stock</x:t>
        </x:is>
      </x:c>
      <x:c r="C37" s="28" t="inlineStr">
        <x:is>
          <x:t xml:space="preserve">Stock worker</x:t>
        </x:is>
      </x:c>
      <x:c r="D37" s="28" t="inlineStr">
        <x:is>
          <x:t xml:space="preserve">Dashboard</x:t>
        </x:is>
      </x:c>
      <x:c r="E37" s="28" t="inlineStr">
        <x:is>
          <x:t xml:space="preserve">Count, waste and correct stock; attempt another establishment.</x:t>
        </x:is>
      </x:c>
      <x:c r="F37" s="28" t="inlineStr">
        <x:is>
          <x:t xml:space="preserve">Each permission is separate and exact-establishment access enforced.</x:t>
        </x:is>
      </x:c>
      <x:c r="G37" s="28" t="inlineStr">
        <x:is>
          <x:t xml:space="preserve">Must</x:t>
        </x:is>
      </x:c>
      <x:c r="H37" s="28" t="inlineStr">
        <x:is>
          <x:t xml:space="preserve">Not run</x:t>
        </x:is>
      </x:c>
      <x:c r="I37" s="28" t="inlineStr">
        <x:is>
          <x:t xml:space="preserve">Pilot lead + Stock worker</x:t>
        </x:is>
      </x:c>
      <x:c r="J37" s="28" t="str"/>
      <x:c r="K37" s="28" t="inlineStr">
        <x:is>
          <x:t xml:space="preserve">Physical pilot/device/provider acceptance remains to be run; record observed evidence and date.</x:t>
        </x:is>
      </x:c>
    </x:row>
    <x:row r="38" ht="42" customHeight="1">
      <x:c r="A38" s="6" t="inlineStr">
        <x:is>
          <x:t xml:space="preserve">M33</x:t>
        </x:is>
      </x:c>
      <x:c r="B38" s="28" t="inlineStr">
        <x:is>
          <x:t xml:space="preserve">Stock</x:t>
        </x:is>
      </x:c>
      <x:c r="C38" s="28" t="inlineStr">
        <x:is>
          <x:t xml:space="preserve">Two actors</x:t>
        </x:is>
      </x:c>
      <x:c r="D38" s="28" t="inlineStr">
        <x:is>
          <x:t xml:space="preserve">Dashboard</x:t>
        </x:is>
      </x:c>
      <x:c r="E38" s="28" t="inlineStr">
        <x:is>
          <x:t xml:space="preserve">Sell last item while stock worker adjusts quantity.</x:t>
        </x:is>
      </x:c>
      <x:c r="F38" s="28" t="inlineStr">
        <x:is>
          <x:t xml:space="preserve">No oversell or double consumption.</x:t>
        </x:is>
      </x:c>
      <x:c r="G38" s="28" t="inlineStr">
        <x:is>
          <x:t xml:space="preserve">Must</x:t>
        </x:is>
      </x:c>
      <x:c r="H38" s="28" t="inlineStr">
        <x:is>
          <x:t xml:space="preserve">Not run</x:t>
        </x:is>
      </x:c>
      <x:c r="I38" s="28" t="inlineStr">
        <x:is>
          <x:t xml:space="preserve">Pilot lead + Two actors</x:t>
        </x:is>
      </x:c>
      <x:c r="J38" s="28" t="str"/>
      <x:c r="K38" s="28" t="inlineStr">
        <x:is>
          <x:t xml:space="preserve">Physical pilot/device/provider acceptance remains to be run; record observed evidence and date.</x:t>
        </x:is>
      </x:c>
    </x:row>
    <x:row r="39" ht="42" customHeight="1">
      <x:c r="A39" s="6" t="inlineStr">
        <x:is>
          <x:t xml:space="preserve">M34</x:t>
        </x:is>
      </x:c>
      <x:c r="B39" s="28" t="inlineStr">
        <x:is>
          <x:t xml:space="preserve">Money</x:t>
        </x:is>
      </x:c>
      <x:c r="C39" s="28" t="inlineStr">
        <x:is>
          <x:t xml:space="preserve">Owner/Waiter</x:t>
        </x:is>
      </x:c>
      <x:c r="D39" s="28" t="inlineStr">
        <x:is>
          <x:t xml:space="preserve">Dashboard</x:t>
        </x:is>
      </x:c>
      <x:c r="E39" s="28" t="inlineStr">
        <x:is>
          <x:t xml:space="preserve">Record partial CDF and USD payments without conversion.</x:t>
        </x:is>
      </x:c>
      <x:c r="F39" s="28" t="inlineStr">
        <x:is>
          <x:t xml:space="preserve">Two currency balances are separate and correct.</x:t>
        </x:is>
      </x:c>
      <x:c r="G39" s="28" t="inlineStr">
        <x:is>
          <x:t xml:space="preserve">Must</x:t>
        </x:is>
      </x:c>
      <x:c r="H39" s="28" t="inlineStr">
        <x:is>
          <x:t xml:space="preserve">Not run</x:t>
        </x:is>
      </x:c>
      <x:c r="I39" s="28" t="inlineStr">
        <x:is>
          <x:t xml:space="preserve">Pilot lead + Owner/Waiter</x:t>
        </x:is>
      </x:c>
      <x:c r="J39" s="28" t="str"/>
      <x:c r="K39" s="28" t="inlineStr">
        <x:is>
          <x:t xml:space="preserve">Physical pilot/device/provider acceptance remains to be run; record observed evidence and date.</x:t>
        </x:is>
      </x:c>
    </x:row>
    <x:row r="40" ht="42" customHeight="1">
      <x:c r="A40" s="6" t="inlineStr">
        <x:is>
          <x:t xml:space="preserve">M35</x:t>
        </x:is>
      </x:c>
      <x:c r="B40" s="28" t="inlineStr">
        <x:is>
          <x:t xml:space="preserve">Money</x:t>
        </x:is>
      </x:c>
      <x:c r="C40" s="28" t="inlineStr">
        <x:is>
          <x:t xml:space="preserve">Owner/Waiter</x:t>
        </x:is>
      </x:c>
      <x:c r="D40" s="28" t="inlineStr">
        <x:is>
          <x:t xml:space="preserve">Dashboard</x:t>
        </x:is>
      </x:c>
      <x:c r="E40" s="28" t="inlineStr">
        <x:is>
          <x:t xml:space="preserve">Correct a mistaken entry and record an actual refund.</x:t>
        </x:is>
      </x:c>
      <x:c r="F40" s="28" t="inlineStr">
        <x:is>
          <x:t xml:space="preserve">Correction and actual money-out remain distinct; receipt is truthful.</x:t>
        </x:is>
      </x:c>
      <x:c r="G40" s="28" t="inlineStr">
        <x:is>
          <x:t xml:space="preserve">Must</x:t>
        </x:is>
      </x:c>
      <x:c r="H40" s="28" t="inlineStr">
        <x:is>
          <x:t xml:space="preserve">Not run</x:t>
        </x:is>
      </x:c>
      <x:c r="I40" s="28" t="inlineStr">
        <x:is>
          <x:t xml:space="preserve">Pilot lead + Owner/Waiter</x:t>
        </x:is>
      </x:c>
      <x:c r="J40" s="28" t="str"/>
      <x:c r="K40" s="28" t="inlineStr">
        <x:is>
          <x:t xml:space="preserve">Physical pilot/device/provider acceptance remains to be run; record observed evidence and date.</x:t>
        </x:is>
      </x:c>
    </x:row>
    <x:row r="41" ht="42" customHeight="1">
      <x:c r="A41" s="6" t="inlineStr">
        <x:is>
          <x:t xml:space="preserve">M36</x:t>
        </x:is>
      </x:c>
      <x:c r="B41" s="28" t="inlineStr">
        <x:is>
          <x:t xml:space="preserve">Money</x:t>
        </x:is>
      </x:c>
      <x:c r="C41" s="28" t="inlineStr">
        <x:is>
          <x:t xml:space="preserve">Guest</x:t>
        </x:is>
      </x:c>
      <x:c r="D41" s="28" t="inlineStr">
        <x:is>
          <x:t xml:space="preserve">Phone web</x:t>
        </x:is>
      </x:c>
      <x:c r="E41" s="28" t="inlineStr">
        <x:is>
          <x:t xml:space="preserve">View approved private payment summary.</x:t>
        </x:is>
      </x:c>
      <x:c r="F41" s="28" t="inlineStr">
        <x:is>
          <x:t xml:space="preserve">Amounts reflect recorded evidence only; no paid/verified claim without basis.</x:t>
        </x:is>
      </x:c>
      <x:c r="G41" s="28" t="inlineStr">
        <x:is>
          <x:t xml:space="preserve">Must</x:t>
        </x:is>
      </x:c>
      <x:c r="H41" s="28" t="inlineStr">
        <x:is>
          <x:t xml:space="preserve">Not run</x:t>
        </x:is>
      </x:c>
      <x:c r="I41" s="28" t="inlineStr">
        <x:is>
          <x:t xml:space="preserve">Pilot lead + Guest</x:t>
        </x:is>
      </x:c>
      <x:c r="J41" s="28" t="str"/>
      <x:c r="K41" s="28" t="inlineStr">
        <x:is>
          <x:t xml:space="preserve">Physical pilot/device/provider acceptance remains to be run; record observed evidence and date.</x:t>
        </x:is>
      </x:c>
    </x:row>
    <x:row r="42" ht="42" customHeight="1">
      <x:c r="A42" s="6" t="inlineStr">
        <x:is>
          <x:t xml:space="preserve">M37</x:t>
        </x:is>
      </x:c>
      <x:c r="B42" s="28" t="inlineStr">
        <x:is>
          <x:t xml:space="preserve">Daily work</x:t>
        </x:is>
      </x:c>
      <x:c r="C42" s="28" t="inlineStr">
        <x:is>
          <x:t xml:space="preserve">Owner</x:t>
        </x:is>
      </x:c>
      <x:c r="D42" s="28" t="inlineStr">
        <x:is>
          <x:t xml:space="preserve">Owner screen</x:t>
        </x:is>
      </x:c>
      <x:c r="E42" s="28" t="inlineStr">
        <x:is>
          <x:t xml:space="preserve">Attest opening cash during local day for CDF and USD.</x:t>
        </x:is>
      </x:c>
      <x:c r="F42" s="28" t="inlineStr">
        <x:is>
          <x:t xml:space="preserve">Opening amounts save once; zero and missing remain distinct.</x:t>
        </x:is>
      </x:c>
      <x:c r="G42" s="28" t="inlineStr">
        <x:is>
          <x:t xml:space="preserve">Must</x:t>
        </x:is>
      </x:c>
      <x:c r="H42" s="28" t="inlineStr">
        <x:is>
          <x:t xml:space="preserve">Not run</x:t>
        </x:is>
      </x:c>
      <x:c r="I42" s="28" t="inlineStr">
        <x:is>
          <x:t xml:space="preserve">Pilot lead + Owner</x:t>
        </x:is>
      </x:c>
      <x:c r="J42" s="28" t="str"/>
      <x:c r="K42" s="28" t="inlineStr">
        <x:is>
          <x:t xml:space="preserve">Physical pilot/device/provider acceptance remains to be run; record observed evidence and date.</x:t>
        </x:is>
      </x:c>
    </x:row>
    <x:row r="43" ht="42" customHeight="1">
      <x:c r="A43" s="6" t="inlineStr">
        <x:is>
          <x:t xml:space="preserve">M38</x:t>
        </x:is>
      </x:c>
      <x:c r="B43" s="28" t="inlineStr">
        <x:is>
          <x:t xml:space="preserve">Daily work</x:t>
        </x:is>
      </x:c>
      <x:c r="C43" s="28" t="inlineStr">
        <x:is>
          <x:t xml:space="preserve">Owner</x:t>
        </x:is>
      </x:c>
      <x:c r="D43" s="28" t="inlineStr">
        <x:is>
          <x:t xml:space="preserve">Owner screen</x:t>
        </x:is>
      </x:c>
      <x:c r="E43" s="28" t="inlineStr">
        <x:is>
          <x:t xml:space="preserve">Enter expense, cash in/out and count cash.</x:t>
        </x:is>
      </x:c>
      <x:c r="F43" s="28" t="inlineStr">
        <x:is>
          <x:t xml:space="preserve">Expense and drawer movement remain distinct with correct totals.</x:t>
        </x:is>
      </x:c>
      <x:c r="G43" s="28" t="inlineStr">
        <x:is>
          <x:t xml:space="preserve">Must</x:t>
        </x:is>
      </x:c>
      <x:c r="H43" s="28" t="inlineStr">
        <x:is>
          <x:t xml:space="preserve">Not run</x:t>
        </x:is>
      </x:c>
      <x:c r="I43" s="28" t="inlineStr">
        <x:is>
          <x:t xml:space="preserve">Pilot lead + Owner</x:t>
        </x:is>
      </x:c>
      <x:c r="J43" s="28" t="str"/>
      <x:c r="K43" s="28" t="inlineStr">
        <x:is>
          <x:t xml:space="preserve">Physical pilot/device/provider acceptance remains to be run; record observed evidence and date.</x:t>
        </x:is>
      </x:c>
    </x:row>
    <x:row r="44" ht="42" customHeight="1">
      <x:c r="A44" s="6" t="inlineStr">
        <x:is>
          <x:t xml:space="preserve">M39</x:t>
        </x:is>
      </x:c>
      <x:c r="B44" s="28" t="inlineStr">
        <x:is>
          <x:t xml:space="preserve">Daily work</x:t>
        </x:is>
      </x:c>
      <x:c r="C44" s="28" t="inlineStr">
        <x:is>
          <x:t xml:space="preserve">Owner</x:t>
        </x:is>
      </x:c>
      <x:c r="D44" s="28" t="inlineStr">
        <x:is>
          <x:t xml:space="preserve">Owner screen</x:t>
        </x:is>
      </x:c>
      <x:c r="E44" s="28" t="inlineStr">
        <x:is>
          <x:t xml:space="preserve">Preview current day and check outstanding orders/refunds/stock exceptions.</x:t>
        </x:is>
      </x:c>
      <x:c r="F44" s="28" t="inlineStr">
        <x:is>
          <x:t xml:space="preserve">Report shows separate cash, mobile money and outstanding items.</x:t>
        </x:is>
      </x:c>
      <x:c r="G44" s="28" t="inlineStr">
        <x:is>
          <x:t xml:space="preserve">Must</x:t>
        </x:is>
      </x:c>
      <x:c r="H44" s="28" t="inlineStr">
        <x:is>
          <x:t xml:space="preserve">Not run</x:t>
        </x:is>
      </x:c>
      <x:c r="I44" s="28" t="inlineStr">
        <x:is>
          <x:t xml:space="preserve">Pilot lead + Owner</x:t>
        </x:is>
      </x:c>
      <x:c r="J44" s="28" t="str"/>
      <x:c r="K44" s="28" t="inlineStr">
        <x:is>
          <x:t xml:space="preserve">Physical pilot/device/provider acceptance remains to be run; record observed evidence and date.</x:t>
        </x:is>
      </x:c>
    </x:row>
    <x:row r="45" ht="42" customHeight="1">
      <x:c r="A45" s="6" t="inlineStr">
        <x:is>
          <x:t xml:space="preserve">M40</x:t>
        </x:is>
      </x:c>
      <x:c r="B45" s="28" t="inlineStr">
        <x:is>
          <x:t xml:space="preserve">Daily work</x:t>
        </x:is>
      </x:c>
      <x:c r="C45" s="28" t="inlineStr">
        <x:is>
          <x:t xml:space="preserve">Owner</x:t>
        </x:is>
      </x:c>
      <x:c r="D45" s="28" t="inlineStr">
        <x:is>
          <x:t xml:space="preserve">Owner screen</x:t>
        </x:is>
      </x:c>
      <x:c r="E45" s="28" t="inlineStr">
        <x:is>
          <x:t xml:space="preserve">Close local day after midnight and inspect signed report.</x:t>
        </x:is>
      </x:c>
      <x:c r="F45" s="28" t="inlineStr">
        <x:is>
          <x:t xml:space="preserve">Close is immutable, discrepancy visible and no order/bill is silently settled.</x:t>
        </x:is>
      </x:c>
      <x:c r="G45" s="28" t="inlineStr">
        <x:is>
          <x:t xml:space="preserve">Must</x:t>
        </x:is>
      </x:c>
      <x:c r="H45" s="28" t="inlineStr">
        <x:is>
          <x:t xml:space="preserve">Not run</x:t>
        </x:is>
      </x:c>
      <x:c r="I45" s="28" t="inlineStr">
        <x:is>
          <x:t xml:space="preserve">Pilot lead + Owner</x:t>
        </x:is>
      </x:c>
      <x:c r="J45" s="28" t="str"/>
      <x:c r="K45" s="28" t="inlineStr">
        <x:is>
          <x:t xml:space="preserve">Physical pilot/device/provider acceptance remains to be run; record observed evidence and date.</x:t>
        </x:is>
      </x:c>
    </x:row>
    <x:row r="46" ht="42" customHeight="1">
      <x:c r="A46" s="6" t="inlineStr">
        <x:is>
          <x:t xml:space="preserve">M41</x:t>
        </x:is>
      </x:c>
      <x:c r="B46" s="28" t="inlineStr">
        <x:is>
          <x:t xml:space="preserve">Daily work</x:t>
        </x:is>
      </x:c>
      <x:c r="C46" s="28" t="inlineStr">
        <x:is>
          <x:t xml:space="preserve">Owner</x:t>
        </x:is>
      </x:c>
      <x:c r="D46" s="28" t="inlineStr">
        <x:is>
          <x:t xml:space="preserve">Owner screen</x:t>
        </x:is>
      </x:c>
      <x:c r="E46" s="28" t="inlineStr">
        <x:is>
          <x:t xml:space="preserve">Post a permitted later correction after close.</x:t>
        </x:is>
      </x:c>
      <x:c r="F46" s="28" t="inlineStr">
        <x:is>
          <x:t xml:space="preserve">Supplement appears without rewriting original report.</x:t>
        </x:is>
      </x:c>
      <x:c r="G46" s="28" t="inlineStr">
        <x:is>
          <x:t xml:space="preserve">Must</x:t>
        </x:is>
      </x:c>
      <x:c r="H46" s="28" t="inlineStr">
        <x:is>
          <x:t xml:space="preserve">Not run</x:t>
        </x:is>
      </x:c>
      <x:c r="I46" s="28" t="inlineStr">
        <x:is>
          <x:t xml:space="preserve">Pilot lead + Owner</x:t>
        </x:is>
      </x:c>
      <x:c r="J46" s="28" t="str"/>
      <x:c r="K46" s="28" t="inlineStr">
        <x:is>
          <x:t xml:space="preserve">Physical pilot/device/provider acceptance remains to be run; record observed evidence and date.</x:t>
        </x:is>
      </x:c>
    </x:row>
    <x:row r="47" ht="42" customHeight="1">
      <x:c r="A47" s="6" t="inlineStr">
        <x:is>
          <x:t xml:space="preserve">M42</x:t>
        </x:is>
      </x:c>
      <x:c r="B47" s="28" t="inlineStr">
        <x:is>
          <x:t xml:space="preserve">Daily work</x:t>
        </x:is>
      </x:c>
      <x:c r="C47" s="28" t="inlineStr">
        <x:is>
          <x:t xml:space="preserve">Owner</x:t>
        </x:is>
      </x:c>
      <x:c r="D47" s="28" t="inlineStr">
        <x:is>
          <x:t xml:space="preserve">Owner screen</x:t>
        </x:is>
      </x:c>
      <x:c r="E47" s="28" t="inlineStr">
        <x:is>
          <x:t xml:space="preserve">Miss opening attestation, then attempt retrospective entry.</x:t>
        </x:is>
      </x:c>
      <x:c r="F47" s="28" t="inlineStr">
        <x:is>
          <x:t xml:space="preserve">System refuses retrospective override; supporter can explain limitation.</x:t>
        </x:is>
      </x:c>
      <x:c r="G47" s="28" t="inlineStr">
        <x:is>
          <x:t xml:space="preserve">Should</x:t>
        </x:is>
      </x:c>
      <x:c r="H47" s="28" t="inlineStr">
        <x:is>
          <x:t xml:space="preserve">Not run</x:t>
        </x:is>
      </x:c>
      <x:c r="I47" s="28" t="inlineStr">
        <x:is>
          <x:t xml:space="preserve">Pilot lead + Owner</x:t>
        </x:is>
      </x:c>
      <x:c r="J47" s="28" t="str"/>
      <x:c r="K47" s="28" t="inlineStr">
        <x:is>
          <x:t xml:space="preserve">Physical pilot/device/provider acceptance remains to be run; record observed evidence and date.</x:t>
        </x:is>
      </x:c>
    </x:row>
    <x:row r="48" ht="42" customHeight="1">
      <x:c r="A48" s="6" t="inlineStr">
        <x:is>
          <x:t xml:space="preserve">M43</x:t>
        </x:is>
      </x:c>
      <x:c r="B48" s="28" t="inlineStr">
        <x:is>
          <x:t xml:space="preserve">Reservations</x:t>
        </x:is>
      </x:c>
      <x:c r="C48" s="28" t="inlineStr">
        <x:is>
          <x:t xml:space="preserve">Customer</x:t>
        </x:is>
      </x:c>
      <x:c r="D48" s="28" t="inlineStr">
        <x:is>
          <x:t xml:space="preserve">Website</x:t>
        </x:is>
      </x:c>
      <x:c r="E48" s="28" t="inlineStr">
        <x:is>
          <x:t xml:space="preserve">Sign in with Personal account; request date/time/party.</x:t>
        </x:is>
      </x:c>
      <x:c r="F48" s="28" t="inlineStr">
        <x:is>
          <x:t xml:space="preserve">Private request is created, with no order, deposit or table assignment.</x:t>
        </x:is>
      </x:c>
      <x:c r="G48" s="28" t="inlineStr">
        <x:is>
          <x:t xml:space="preserve">Must</x:t>
        </x:is>
      </x:c>
      <x:c r="H48" s="28" t="inlineStr">
        <x:is>
          <x:t xml:space="preserve">Not run</x:t>
        </x:is>
      </x:c>
      <x:c r="I48" s="28" t="inlineStr">
        <x:is>
          <x:t xml:space="preserve">Pilot lead + Customer</x:t>
        </x:is>
      </x:c>
      <x:c r="J48" s="28" t="str"/>
      <x:c r="K48" s="28" t="inlineStr">
        <x:is>
          <x:t xml:space="preserve">Physical pilot/device/provider acceptance remains to be run; record observed evidence and date.</x:t>
        </x:is>
      </x:c>
    </x:row>
    <x:row r="49" ht="42" customHeight="1">
      <x:c r="A49" s="6" t="inlineStr">
        <x:is>
          <x:t xml:space="preserve">M44</x:t>
        </x:is>
      </x:c>
      <x:c r="B49" s="28" t="inlineStr">
        <x:is>
          <x:t xml:space="preserve">Reservations</x:t>
        </x:is>
      </x:c>
      <x:c r="C49" s="28" t="inlineStr">
        <x:is>
          <x:t xml:space="preserve">Customer</x:t>
        </x:is>
      </x:c>
      <x:c r="D49" s="28" t="inlineStr">
        <x:is>
          <x:t xml:space="preserve">Website</x:t>
        </x:is>
      </x:c>
      <x:c r="E49" s="28" t="inlineStr">
        <x:is>
          <x:t xml:space="preserve">View and cancel own pending/accepted request.</x:t>
        </x:is>
      </x:c>
      <x:c r="F49" s="28" t="inlineStr">
        <x:is>
          <x:t xml:space="preserve">Only exact customer can see or cancel; state refreshes.</x:t>
        </x:is>
      </x:c>
      <x:c r="G49" s="28" t="inlineStr">
        <x:is>
          <x:t xml:space="preserve">Must</x:t>
        </x:is>
      </x:c>
      <x:c r="H49" s="28" t="inlineStr">
        <x:is>
          <x:t xml:space="preserve">Not run</x:t>
        </x:is>
      </x:c>
      <x:c r="I49" s="28" t="inlineStr">
        <x:is>
          <x:t xml:space="preserve">Pilot lead + Customer</x:t>
        </x:is>
      </x:c>
      <x:c r="J49" s="28" t="str"/>
      <x:c r="K49" s="28" t="inlineStr">
        <x:is>
          <x:t xml:space="preserve">Physical pilot/device/provider acceptance remains to be run; record observed evidence and date.</x:t>
        </x:is>
      </x:c>
    </x:row>
    <x:row r="50" ht="42" customHeight="1">
      <x:c r="A50" s="6" t="inlineStr">
        <x:is>
          <x:t xml:space="preserve">M45</x:t>
        </x:is>
      </x:c>
      <x:c r="B50" s="28" t="inlineStr">
        <x:is>
          <x:t xml:space="preserve">Reservations</x:t>
        </x:is>
      </x:c>
      <x:c r="C50" s="28" t="inlineStr">
        <x:is>
          <x:t xml:space="preserve">Seller</x:t>
        </x:is>
      </x:c>
      <x:c r="D50" s="28" t="inlineStr">
        <x:is>
          <x:t xml:space="preserve">Owner screen</x:t>
        </x:is>
      </x:c>
      <x:c r="E50" s="28" t="inlineStr">
        <x:is>
          <x:t xml:space="preserve">Accept, reject, cancel, mark arrival and complete separate bookings.</x:t>
        </x:is>
      </x:c>
      <x:c r="F50" s="28" t="inlineStr">
        <x:is>
          <x:t xml:space="preserve">Each step uses current revision; overlap and status are clear.</x:t>
        </x:is>
      </x:c>
      <x:c r="G50" s="28" t="inlineStr">
        <x:is>
          <x:t xml:space="preserve">Must</x:t>
        </x:is>
      </x:c>
      <x:c r="H50" s="28" t="inlineStr">
        <x:is>
          <x:t xml:space="preserve">Not run</x:t>
        </x:is>
      </x:c>
      <x:c r="I50" s="28" t="inlineStr">
        <x:is>
          <x:t xml:space="preserve">Pilot lead + Seller</x:t>
        </x:is>
      </x:c>
      <x:c r="J50" s="28" t="str"/>
      <x:c r="K50" s="28" t="inlineStr">
        <x:is>
          <x:t xml:space="preserve">Physical pilot/device/provider acceptance remains to be run; record observed evidence and date.</x:t>
        </x:is>
      </x:c>
    </x:row>
    <x:row r="51" ht="42" customHeight="1">
      <x:c r="A51" s="6" t="inlineStr">
        <x:is>
          <x:t xml:space="preserve">M46</x:t>
        </x:is>
      </x:c>
      <x:c r="B51" s="28" t="inlineStr">
        <x:is>
          <x:t xml:space="preserve">Reservations</x:t>
        </x:is>
      </x:c>
      <x:c r="C51" s="28" t="inlineStr">
        <x:is>
          <x:t xml:space="preserve">Seller</x:t>
        </x:is>
      </x:c>
      <x:c r="D51" s="28" t="inlineStr">
        <x:is>
          <x:t xml:space="preserve">Owner screen</x:t>
        </x:is>
      </x:c>
      <x:c r="E51" s="28" t="inlineStr">
        <x:is>
          <x:t xml:space="preserve">Close reservation intake or test takeaway-only establishment.</x:t>
        </x:is>
      </x:c>
      <x:c r="F51" s="28" t="inlineStr">
        <x:is>
          <x:t xml:space="preserve">No new requests; accepted commitments remain manageable.</x:t>
        </x:is>
      </x:c>
      <x:c r="G51" s="28" t="inlineStr">
        <x:is>
          <x:t xml:space="preserve">Must</x:t>
        </x:is>
      </x:c>
      <x:c r="H51" s="28" t="inlineStr">
        <x:is>
          <x:t xml:space="preserve">Not run</x:t>
        </x:is>
      </x:c>
      <x:c r="I51" s="28" t="inlineStr">
        <x:is>
          <x:t xml:space="preserve">Pilot lead + Seller</x:t>
        </x:is>
      </x:c>
      <x:c r="J51" s="28" t="str"/>
      <x:c r="K51" s="28" t="inlineStr">
        <x:is>
          <x:t xml:space="preserve">Physical pilot/device/provider acceptance remains to be run; record observed evidence and date.</x:t>
        </x:is>
      </x:c>
    </x:row>
    <x:row r="52" ht="42" customHeight="1">
      <x:c r="A52" s="6" t="inlineStr">
        <x:is>
          <x:t xml:space="preserve">M47</x:t>
        </x:is>
      </x:c>
      <x:c r="B52" s="28" t="inlineStr">
        <x:is>
          <x:t xml:space="preserve">Reservations</x:t>
        </x:is>
      </x:c>
      <x:c r="C52" s="28" t="inlineStr">
        <x:is>
          <x:t xml:space="preserve">Customer/Seller</x:t>
        </x:is>
      </x:c>
      <x:c r="D52" s="28" t="inlineStr">
        <x:is>
          <x:t xml:space="preserve">WhatsApp</x:t>
        </x:is>
      </x:c>
      <x:c r="E52" s="28" t="inlineStr">
        <x:is>
          <x:t xml:space="preserve">Make and respond to reservation in FR/EN/LN/SW.</x:t>
        </x:is>
      </x:c>
      <x:c r="F52" s="28" t="inlineStr">
        <x:is>
          <x:t xml:space="preserve">Correct profile path, privacy and status messages in each language.</x:t>
        </x:is>
      </x:c>
      <x:c r="G52" s="28" t="inlineStr">
        <x:is>
          <x:t xml:space="preserve">Must</x:t>
        </x:is>
      </x:c>
      <x:c r="H52" s="28" t="inlineStr">
        <x:is>
          <x:t xml:space="preserve">Not run</x:t>
        </x:is>
      </x:c>
      <x:c r="I52" s="28" t="inlineStr">
        <x:is>
          <x:t xml:space="preserve">Pilot lead + Customer/Seller</x:t>
        </x:is>
      </x:c>
      <x:c r="J52" s="28" t="str"/>
      <x:c r="K52" s="28" t="inlineStr">
        <x:is>
          <x:t xml:space="preserve">Physical pilot/device/provider acceptance remains to be run; record observed evidence and date.</x:t>
        </x:is>
      </x:c>
    </x:row>
    <x:row r="53" ht="42" customHeight="1">
      <x:c r="A53" s="6" t="inlineStr">
        <x:is>
          <x:t xml:space="preserve">M48</x:t>
        </x:is>
      </x:c>
      <x:c r="B53" s="28" t="inlineStr">
        <x:is>
          <x:t xml:space="preserve">Reservations</x:t>
        </x:is>
      </x:c>
      <x:c r="C53" s="28" t="inlineStr">
        <x:is>
          <x:t xml:space="preserve">Customer</x:t>
        </x:is>
      </x:c>
      <x:c r="D53" s="28" t="inlineStr">
        <x:is>
          <x:t xml:space="preserve">Website</x:t>
        </x:is>
      </x:c>
      <x:c r="E53" s="28" t="inlineStr">
        <x:is>
          <x:t xml:space="preserve">Allow pending request to reach its deadline.</x:t>
        </x:is>
      </x:c>
      <x:c r="F53" s="28" t="inlineStr">
        <x:is>
          <x:t xml:space="preserve">It expires accurately and cannot be accepted late.</x:t>
        </x:is>
      </x:c>
      <x:c r="G53" s="28" t="inlineStr">
        <x:is>
          <x:t xml:space="preserve">Must</x:t>
        </x:is>
      </x:c>
      <x:c r="H53" s="28" t="inlineStr">
        <x:is>
          <x:t xml:space="preserve">Not run</x:t>
        </x:is>
      </x:c>
      <x:c r="I53" s="28" t="inlineStr">
        <x:is>
          <x:t xml:space="preserve">Pilot lead + Customer</x:t>
        </x:is>
      </x:c>
      <x:c r="J53" s="28" t="str"/>
      <x:c r="K53" s="28" t="inlineStr">
        <x:is>
          <x:t xml:space="preserve">Physical pilot/device/provider acceptance remains to be run; record observed evidence and date.</x:t>
        </x:is>
      </x:c>
    </x:row>
    <x:row r="54" ht="42" customHeight="1">
      <x:c r="A54" s="6" t="inlineStr">
        <x:is>
          <x:t xml:space="preserve">M49</x:t>
        </x:is>
      </x:c>
      <x:c r="B54" s="28" t="inlineStr">
        <x:is>
          <x:t xml:space="preserve">Notifications</x:t>
        </x:is>
      </x:c>
      <x:c r="C54" s="28" t="inlineStr">
        <x:is>
          <x:t xml:space="preserve">Seller/Customer</x:t>
        </x:is>
      </x:c>
      <x:c r="D54" s="28" t="inlineStr">
        <x:is>
          <x:t xml:space="preserve">WhatsApp</x:t>
        </x:is>
      </x:c>
      <x:c r="E54" s="28" t="inlineStr">
        <x:is>
          <x:t xml:space="preserve">Simulate provider failure and later recovery.</x:t>
        </x:is>
      </x:c>
      <x:c r="F54" s="28" t="inlineStr">
        <x:is>
          <x:t xml:space="preserve">Domain decision remains correct; sent/accepted is not described as delivered/read.</x:t>
        </x:is>
      </x:c>
      <x:c r="G54" s="28" t="inlineStr">
        <x:is>
          <x:t xml:space="preserve">Must</x:t>
        </x:is>
      </x:c>
      <x:c r="H54" s="28" t="inlineStr">
        <x:is>
          <x:t xml:space="preserve">Not run</x:t>
        </x:is>
      </x:c>
      <x:c r="I54" s="28" t="inlineStr">
        <x:is>
          <x:t xml:space="preserve">Pilot lead + Seller/Customer</x:t>
        </x:is>
      </x:c>
      <x:c r="J54" s="28" t="str"/>
      <x:c r="K54" s="28" t="inlineStr">
        <x:is>
          <x:t xml:space="preserve">Physical pilot/device/provider acceptance remains to be run; record observed evidence and date.</x:t>
        </x:is>
      </x:c>
    </x:row>
    <x:row r="55" ht="42" customHeight="1">
      <x:c r="A55" s="6" t="inlineStr">
        <x:is>
          <x:t xml:space="preserve">M50</x:t>
        </x:is>
      </x:c>
      <x:c r="B55" s="28" t="inlineStr">
        <x:is>
          <x:t xml:space="preserve">Privacy</x:t>
        </x:is>
      </x:c>
      <x:c r="C55" s="28" t="inlineStr">
        <x:is>
          <x:t xml:space="preserve">Other account</x:t>
        </x:is>
      </x:c>
      <x:c r="D55" s="28" t="inlineStr">
        <x:is>
          <x:t xml:space="preserve">Phone/Dashboard</x:t>
        </x:is>
      </x:c>
      <x:c r="E55" s="28" t="inlineStr">
        <x:is>
          <x:t xml:space="preserve">Try cross-customer and cross-organization reads/actions.</x:t>
        </x:is>
      </x:c>
      <x:c r="F55" s="28" t="inlineStr">
        <x:is>
          <x:t xml:space="preserve">All private visits, money, booking and staff data are denied.</x:t>
        </x:is>
      </x:c>
      <x:c r="G55" s="28" t="inlineStr">
        <x:is>
          <x:t xml:space="preserve">Must</x:t>
        </x:is>
      </x:c>
      <x:c r="H55" s="28" t="inlineStr">
        <x:is>
          <x:t xml:space="preserve">Not run</x:t>
        </x:is>
      </x:c>
      <x:c r="I55" s="28" t="inlineStr">
        <x:is>
          <x:t xml:space="preserve">Pilot lead + Other account</x:t>
        </x:is>
      </x:c>
      <x:c r="J55" s="28" t="str"/>
      <x:c r="K55" s="28" t="inlineStr">
        <x:is>
          <x:t xml:space="preserve">Physical pilot/device/provider acceptance remains to be run; record observed evidence and date.</x:t>
        </x:is>
      </x:c>
    </x:row>
    <x:row r="56" ht="42" customHeight="1">
      <x:c r="A56" s="6" t="inlineStr">
        <x:is>
          <x:t xml:space="preserve">M51</x:t>
        </x:is>
      </x:c>
      <x:c r="B56" s="28" t="inlineStr">
        <x:is>
          <x:t xml:space="preserve">Privacy</x:t>
        </x:is>
      </x:c>
      <x:c r="C56" s="28" t="inlineStr">
        <x:is>
          <x:t xml:space="preserve">Owner</x:t>
        </x:is>
      </x:c>
      <x:c r="D56" s="28" t="inlineStr">
        <x:is>
          <x:t xml:space="preserve">Admin workflow</x:t>
        </x:is>
      </x:c>
      <x:c r="E56" s="28" t="inlineStr">
        <x:is>
          <x:t xml:space="preserve">Erase account or reach retention deadline with held records.</x:t>
        </x:is>
      </x:c>
      <x:c r="F56" s="28" t="inlineStr">
        <x:is>
          <x:t xml:space="preserve">Direct identity removed where required; preserved business evidence remains bounded.</x:t>
        </x:is>
      </x:c>
      <x:c r="G56" s="28" t="inlineStr">
        <x:is>
          <x:t xml:space="preserve">Must</x:t>
        </x:is>
      </x:c>
      <x:c r="H56" s="28" t="inlineStr">
        <x:is>
          <x:t xml:space="preserve">Not run</x:t>
        </x:is>
      </x:c>
      <x:c r="I56" s="28" t="inlineStr">
        <x:is>
          <x:t xml:space="preserve">Pilot lead + Owner</x:t>
        </x:is>
      </x:c>
      <x:c r="J56" s="28" t="str"/>
      <x:c r="K56" s="28" t="inlineStr">
        <x:is>
          <x:t xml:space="preserve">Physical pilot/device/provider acceptance remains to be run; record observed evidence and date.</x:t>
        </x:is>
      </x:c>
    </x:row>
    <x:row r="57" ht="42" customHeight="1">
      <x:c r="A57" s="6" t="inlineStr">
        <x:is>
          <x:t xml:space="preserve">M52</x:t>
        </x:is>
      </x:c>
      <x:c r="B57" s="28" t="inlineStr">
        <x:is>
          <x:t xml:space="preserve">Release UX</x:t>
        </x:is>
      </x:c>
      <x:c r="C57" s="28" t="inlineStr">
        <x:is>
          <x:t xml:space="preserve">Customer/Worker</x:t>
        </x:is>
      </x:c>
      <x:c r="D57" s="28" t="inlineStr">
        <x:is>
          <x:t xml:space="preserve">Real phone</x:t>
        </x:is>
      </x:c>
      <x:c r="E57" s="28" t="inlineStr">
        <x:is>
          <x:t xml:space="preserve">Run full counter and table journey on low bandwidth and narrow screen.</x:t>
        </x:is>
      </x:c>
      <x:c r="F57" s="28" t="inlineStr">
        <x:is>
          <x:t xml:space="preserve">No blocking layout, stale state or duplicate action.</x:t>
        </x:is>
      </x:c>
      <x:c r="G57" s="28" t="inlineStr">
        <x:is>
          <x:t xml:space="preserve">Must</x:t>
        </x:is>
      </x:c>
      <x:c r="H57" s="28" t="inlineStr">
        <x:is>
          <x:t xml:space="preserve">Not run</x:t>
        </x:is>
      </x:c>
      <x:c r="I57" s="28" t="inlineStr">
        <x:is>
          <x:t xml:space="preserve">Pilot lead + Customer/Worker</x:t>
        </x:is>
      </x:c>
      <x:c r="J57" s="28" t="str"/>
      <x:c r="K57" s="28" t="inlineStr">
        <x:is>
          <x:t xml:space="preserve">Physical pilot/device/provider acceptance remains to be run; record observed evidence and date.</x:t>
        </x:is>
      </x:c>
    </x:row>
    <x:row r="58" ht="42" customHeight="1">
      <x:c r="A58" s="6" t="inlineStr">
        <x:is>
          <x:t xml:space="preserve">M53</x:t>
        </x:is>
      </x:c>
      <x:c r="B58" s="28" t="inlineStr">
        <x:is>
          <x:t xml:space="preserve">Release UX</x:t>
        </x:is>
      </x:c>
      <x:c r="C58" s="28" t="inlineStr">
        <x:is>
          <x:t xml:space="preserve">Supporter</x:t>
        </x:is>
      </x:c>
      <x:c r="D58" s="28" t="inlineStr">
        <x:is>
          <x:t xml:space="preserve">Review</x:t>
        </x:is>
      </x:c>
      <x:c r="E58" s="28" t="inlineStr">
        <x:is>
          <x:t xml:space="preserve">Review all four-language customer and worker wording with real speakers.</x:t>
        </x:is>
      </x:c>
      <x:c r="F58" s="28" t="inlineStr">
        <x:is>
          <x:t xml:space="preserve">Confusing text and WhatsApp flow improvements logged.</x:t>
        </x:is>
      </x:c>
      <x:c r="G58" s="28" t="inlineStr">
        <x:is>
          <x:t xml:space="preserve">Must</x:t>
        </x:is>
      </x:c>
      <x:c r="H58" s="28" t="inlineStr">
        <x:is>
          <x:t xml:space="preserve">Not run</x:t>
        </x:is>
      </x:c>
      <x:c r="I58" s="28" t="inlineStr">
        <x:is>
          <x:t xml:space="preserve">Pilot lead + Supporter</x:t>
        </x:is>
      </x:c>
      <x:c r="J58" s="28" t="str"/>
      <x:c r="K58" s="28" t="inlineStr">
        <x:is>
          <x:t xml:space="preserve">Physical pilot/device/provider acceptance remains to be run; record observed evidence and date.</x:t>
        </x:is>
      </x:c>
    </x:row>
    <x:row r="59" ht="42" customHeight="1">
      <x:c r="A59" s="6" t="inlineStr">
        <x:is>
          <x:t xml:space="preserve">M54</x:t>
        </x:is>
      </x:c>
      <x:c r="B59" s="28" t="inlineStr">
        <x:is>
          <x:t xml:space="preserve">Pilot day</x:t>
        </x:is>
      </x:c>
      <x:c r="C59" s="28" t="inlineStr">
        <x:is>
          <x:t xml:space="preserve">Restaurant team</x:t>
        </x:is>
      </x:c>
      <x:c r="D59" s="28" t="inlineStr">
        <x:is>
          <x:t xml:space="preserve">On site</x:t>
        </x:is>
      </x:c>
      <x:c r="E59" s="28" t="inlineStr">
        <x:is>
          <x:t xml:space="preserve">Run one opening-to-close working day with guest, waiter, kitchen, bar, stock and owner.</x:t>
        </x:is>
      </x:c>
      <x:c r="F59" s="28" t="inlineStr">
        <x:is>
          <x:t xml:space="preserve">Orders, handovers, money and closing reconcile against observed reality.</x:t>
        </x:is>
      </x:c>
      <x:c r="G59" s="28" t="inlineStr">
        <x:is>
          <x:t xml:space="preserve">Must</x:t>
        </x:is>
      </x:c>
      <x:c r="H59" s="28" t="inlineStr">
        <x:is>
          <x:t xml:space="preserve">Not run</x:t>
        </x:is>
      </x:c>
      <x:c r="I59" s="28" t="inlineStr">
        <x:is>
          <x:t xml:space="preserve">Pilot lead + Restaurant team</x:t>
        </x:is>
      </x:c>
      <x:c r="J59" s="28" t="str"/>
      <x:c r="K59" s="28" t="inlineStr">
        <x:is>
          <x:t xml:space="preserve">Physical pilot/device/provider acceptance remains to be run; record observed evidence and date.</x:t>
        </x:is>
      </x:c>
    </x:row>
  </x:sheetData>
  <x:conditionalFormatting sqref="H6:H59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1">
    <x:dataValidation type="list" allowBlank="0" showDropDown="0" showInputMessage="0" showErrorMessage="0" sqref="H6:H59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71d622dc9f4c9a"/>
  </x:tableParts>
</x:worksheet>
</file>

<file path=xl/worksheets/sheet3.xml><?xml version="1.0" encoding="utf-8"?>
<x:worksheet xmlns:x="http://schemas.openxmlformats.org/spreadsheetml/2006/main">
  <x:sheetPr>
    <x:tabColor rgb="FF3877A6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16" customWidth="1"/>
    <x:col min="3" max="3" width="57" customWidth="1"/>
    <x:col min="4" max="4" width="57" customWidth="1"/>
    <x:col min="5" max="5" width="62" customWidth="1"/>
    <x:col min="6" max="6" width="12" customWidth="1"/>
    <x:col min="7" max="7" width="18" customWidth="1"/>
    <x:col min="8" max="8" width="20" customWidth="1"/>
    <x:col min="9" max="9" width="17" customWidth="1"/>
    <x:col min="10" max="10" width="52" customWidth="1"/>
  </x:cols>
  <x:sheetData>
    <x:row r="2">
      <x:c r="A2" s="2" t="inlineStr">
        <x:is>
          <x:t xml:space="preserve">Automated checks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</x:row>
    <x:row r="3">
      <x:c r="A3" s="3" t="inlineStr">
        <x:is>
          <x:t xml:space="preserve">A01-A31 retain historical results. P01 onward records the dedicated Restaurant pilot automated gate; live acceptance is separate.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Repository</x:t>
        </x:is>
      </x:c>
      <x:c r="C5" s="5" t="inlineStr">
        <x:is>
          <x:t xml:space="preserve">Check</x:t>
        </x:is>
      </x:c>
      <x:c r="D5" s="5" t="inlineStr">
        <x:is>
          <x:t xml:space="preserve">Expected gate</x:t>
        </x:is>
      </x:c>
      <x:c r="E5" s="5" t="inlineStr">
        <x:is>
          <x:t xml:space="preserve">Prior local evidence</x:t>
        </x:is>
      </x:c>
      <x:c r="F5" s="5" t="inlineStr">
        <x:is>
          <x:t xml:space="preserve">Priority</x:t>
        </x:is>
      </x:c>
      <x:c r="G5" s="5" t="inlineStr">
        <x:is>
          <x:t xml:space="preserve">Status</x:t>
        </x:is>
      </x:c>
      <x:c r="H5" s="5" t="inlineStr">
        <x:is>
          <x:t xml:space="preserve">Owner</x:t>
        </x:is>
      </x:c>
      <x:c r="I5" s="5" t="inlineStr">
        <x:is>
          <x:t xml:space="preserve">Run date</x:t>
        </x:is>
      </x:c>
      <x:c r="J5" s="5" t="inlineStr">
        <x:is>
          <x:t xml:space="preserve">Evidence / issue</x:t>
        </x:is>
      </x:c>
    </x:row>
    <x:row r="6" ht="42" customHeight="1">
      <x:c r="A6" s="6" t="inlineStr">
        <x:is>
          <x:t xml:space="preserve">A01</x:t>
        </x:is>
      </x:c>
      <x:c r="B6" s="28" t="inlineStr">
        <x:is>
          <x:t xml:space="preserve">Backend</x:t>
        </x:is>
      </x:c>
      <x:c r="C6" s="28" t="inlineStr">
        <x:is>
          <x:t xml:space="preserve">Verify sole current Alembic head 0150 and lineage through Restaurant 0148 and Services 0150.</x:t>
        </x:is>
      </x:c>
      <x:c r="D6" s="28" t="inlineStr">
        <x:is>
          <x:t xml:space="preserve">Exactly one head; no branch drift.</x:t>
        </x:is>
      </x:c>
      <x:c r="E6" s="28" t="inlineStr">
        <x:is>
          <x:t xml:space="preserve">0148 reported sole head after reservations.</x:t>
        </x:is>
      </x:c>
      <x:c r="F6" s="28" t="inlineStr">
        <x:is>
          <x:t xml:space="preserve">Must</x:t>
        </x:is>
      </x:c>
      <x:c r="G6" s="28" t="inlineStr">
        <x:is>
          <x:t xml:space="preserve">Pass</x:t>
        </x:is>
      </x:c>
      <x:c r="H6" s="28" t="inlineStr">
        <x:is>
          <x:t xml:space="preserve">Backend / database engineer</x:t>
        </x:is>
      </x:c>
      <x:c r="I6" s="28" t="inlineStr">
        <x:is>
          <x:t xml:space="preserve">2026-10-12</x:t>
        </x:is>
      </x:c>
      <x:c r="J6" s="28" t="inlineStr">
        <x:is>
          <x:t xml:space="preserve">C:\NIHILOBA\Backend\docs\evidence\restaurants_pilot_release\restaurant_batch_full_suite.json: sole Alembic head 0150; revision d6c5fbbe6aa541d651e266f77fc4b99e3b81efb2</x:t>
        </x:is>
      </x:c>
    </x:row>
    <x:row r="7" ht="42" customHeight="1">
      <x:c r="A7" s="6" t="inlineStr">
        <x:is>
          <x:t xml:space="preserve">A02</x:t>
        </x:is>
      </x:c>
      <x:c r="B7" s="28" t="inlineStr">
        <x:is>
          <x:t xml:space="preserve">Backend</x:t>
        </x:is>
      </x:c>
      <x:c r="C7" s="28" t="inlineStr">
        <x:is>
          <x:t xml:space="preserve">Apply populated 0147→0148→0149 migration in designated staging PostgreSQL.</x:t>
        </x:is>
      </x:c>
      <x:c r="D7" s="28" t="inlineStr">
        <x:is>
          <x:t xml:space="preserve">Upgrade succeeds; preserved orders/money/table data.</x:t>
        </x:is>
      </x:c>
      <x:c r="E7" s="28" t="inlineStr">
        <x:is>
          <x:t xml:space="preserve">Reservation handoff did not run live PostgreSQL.</x:t>
        </x:is>
      </x:c>
      <x:c r="F7" s="28" t="inlineStr">
        <x:is>
          <x:t xml:space="preserve">Must</x:t>
        </x:is>
      </x:c>
      <x:c r="G7" s="28" t="inlineStr">
        <x:is>
          <x:t xml:space="preserve">Blocked</x:t>
        </x:is>
      </x:c>
      <x:c r="H7" s="28" t="inlineStr">
        <x:is>
          <x:t xml:space="preserve">Database / release engineer</x:t>
        </x:is>
      </x:c>
      <x:c r="I7" s="28" t="inlineStr">
        <x:is>
          <x:t xml:space="preserve">2026-10-11</x:t>
        </x:is>
      </x:c>
      <x:c r="J7" s="28" t="inlineStr">
        <x:is>
          <x:t xml:space="preserve">C:\NIHILOBA\Backend\docs\evidence\restaurants_pilot_release\postgres_populated_verification.txt (disposable only); staging not accessed</x:t>
        </x:is>
      </x:c>
    </x:row>
    <x:row r="8" ht="42" customHeight="1">
      <x:c r="A8" s="6" t="inlineStr">
        <x:is>
          <x:t xml:space="preserve">A03</x:t>
        </x:is>
      </x:c>
      <x:c r="B8" s="28" t="inlineStr">
        <x:is>
          <x:t xml:space="preserve">Backend</x:t>
        </x:is>
      </x:c>
      <x:c r="C8" s="28" t="inlineStr">
        <x:is>
          <x:t xml:space="preserve">Rehearse populated 0147→0148→0149 and populated 0149→0150 locally.</x:t>
        </x:is>
      </x:c>
      <x:c r="D8" s="28" t="inlineStr">
        <x:is>
          <x:t xml:space="preserve">All constraints/indexes and maintenance paths work.</x:t>
        </x:is>
      </x:c>
      <x:c r="E8" s="28" t="inlineStr">
        <x:is>
          <x:t xml:space="preserve">Fresh-schema focused and DDL compilation passed locally.</x:t>
        </x:is>
      </x:c>
      <x:c r="F8" s="28" t="inlineStr">
        <x:is>
          <x:t xml:space="preserve">Must</x:t>
        </x:is>
      </x:c>
      <x:c r="G8" s="28" t="inlineStr">
        <x:is>
          <x:t xml:space="preserve">Pass</x:t>
        </x:is>
      </x:c>
      <x:c r="H8" s="28" t="inlineStr">
        <x:is>
          <x:t xml:space="preserve">Database engineer</x:t>
        </x:is>
      </x:c>
      <x:c r="I8" s="28" t="inlineStr">
        <x:is>
          <x:t xml:space="preserve">2026-10-12</x:t>
        </x:is>
      </x:c>
      <x:c r="J8" s="28" t="inlineStr">
        <x:is>
          <x:t xml:space="preserve">C:\NIHILOBA\Backend\docs\evidence\restaurants_pilot_release\postgres_populated_verification.txt (earlier 0147→0149); backend_closure_populated_0149_to_0150.json; backend_closure_pg_migration.txt (disposable only)</x:t>
        </x:is>
      </x:c>
    </x:row>
    <x:row r="9" ht="42" customHeight="1">
      <x:c r="A9" s="6" t="inlineStr">
        <x:is>
          <x:t xml:space="preserve">A04</x:t>
        </x:is>
      </x:c>
      <x:c r="B9" s="28" t="inlineStr">
        <x:is>
          <x:t xml:space="preserve">Backend</x:t>
        </x:is>
      </x:c>
      <x:c r="C9" s="28" t="inlineStr">
        <x:is>
          <x:t xml:space="preserve">Historical platform-wide Backend suite (outside Restaurant pilot scope by founder decision, 12 October 2026).</x:t>
        </x:is>
      </x:c>
      <x:c r="D9" s="28" t="inlineStr">
        <x:is>
          <x:t xml:space="preserve">Classify every failure against tracked baseline; zero unexplained new failures.</x:t>
        </x:is>
      </x:c>
      <x:c r="E9" s="28" t="inlineStr">
        <x:is>
          <x:t xml:space="preserve">0146 broad pre-final; 0147 interrupted; 0148 stopped at inherited Employment fixture.</x:t>
        </x:is>
      </x:c>
      <x:c r="F9" s="28" t="inlineStr">
        <x:is>
          <x:t xml:space="preserve">Must</x:t>
        </x:is>
      </x:c>
      <x:c r="G9" s="28" t="inlineStr">
        <x:is>
          <x:t xml:space="preserve">Fail</x:t>
        </x:is>
      </x:c>
      <x:c r="H9" s="28" t="inlineStr">
        <x:is>
          <x:t xml:space="preserve">Backend QA</x:t>
        </x:is>
      </x:c>
      <x:c r="I9" s="28" t="inlineStr">
        <x:is>
          <x:t xml:space="preserve">2026-10-12</x:t>
        </x:is>
      </x:c>
      <x:c r="J9" s="28" t="inlineStr">
        <x:is>
          <x:t xml:space="preserve">C:\NIHILOBA\Backend\docs\evidence\restaurants_pilot_release\restaurant_batch_full_suite.json: 8076 pass/168 fail/1005 skip; 6 prior IDs resolved; 1 new vs prior closure; revision d6c5fbbe6aa541d651e266f77fc4b99e3b81efb2; diff SHA256 a50adbd6bde7ae24384788dedf4c69890bd8ab1a4a4c103291b9dcfbc0ff765c</x:t>
        </x:is>
      </x:c>
    </x:row>
    <x:row r="10" ht="42" customHeight="1">
      <x:c r="A10" s="6" t="inlineStr">
        <x:is>
          <x:t xml:space="preserve">A05</x:t>
        </x:is>
      </x:c>
      <x:c r="B10" s="28" t="inlineStr">
        <x:is>
          <x:t xml:space="preserve">Backend</x:t>
        </x:is>
      </x:c>
      <x:c r="C10" s="28" t="inlineStr">
        <x:is>
          <x:t xml:space="preserve">Run focused Restaurant regression suite on exact release commit</x:t>
        </x:is>
      </x:c>
      <x:c r="D10" s="28" t="inlineStr">
        <x:is>
          <x:t xml:space="preserve">Guest, tables, reservations, Service, prep, stock, money, closing pass.</x:t>
        </x:is>
      </x:c>
      <x:c r="E10" s="28" t="inlineStr">
        <x:is>
          <x:t xml:space="preserve">Focused batch selections passed independently.</x:t>
        </x:is>
      </x:c>
      <x:c r="F10" s="28" t="inlineStr">
        <x:is>
          <x:t xml:space="preserve">Must</x:t>
        </x:is>
      </x:c>
      <x:c r="G10" s="28" t="inlineStr">
        <x:is>
          <x:t xml:space="preserve">Pass</x:t>
        </x:is>
      </x:c>
      <x:c r="H10" s="28" t="inlineStr">
        <x:is>
          <x:t xml:space="preserve">Backend QA</x:t>
        </x:is>
      </x:c>
      <x:c r="I10" s="28" t="inlineStr">
        <x:is>
          <x:t xml:space="preserve">2026-10-12</x:t>
        </x:is>
      </x:c>
      <x:c r="J10" s="28" t="inlineStr">
        <x:is>
          <x:t xml:space="preserve">C:\NIHILOBA\Backend\docs\evidence\restaurants_pilot_release\restaurant_six_after.xml: 6/6; restaurant_three_files.xml: 126 pass/5 skip; restaurant_related.xml: 235 pass/2 skip</x:t>
        </x:is>
      </x:c>
    </x:row>
    <x:row r="11" ht="42" customHeight="1">
      <x:c r="A11" s="6" t="inlineStr">
        <x:is>
          <x:t xml:space="preserve">A06</x:t>
        </x:is>
      </x:c>
      <x:c r="B11" s="28" t="inlineStr">
        <x:is>
          <x:t xml:space="preserve">Backend</x:t>
        </x:is>
      </x:c>
      <x:c r="C11" s="28" t="inlineStr">
        <x:is>
          <x:t xml:space="preserve">Run PostgreSQL last-stock and replay races</x:t>
        </x:is>
      </x:c>
      <x:c r="D11" s="28" t="inlineStr">
        <x:is>
          <x:t xml:space="preserve">No oversell, double reserve, consume or payment.</x:t>
        </x:is>
      </x:c>
      <x:c r="E11" s="28" t="inlineStr">
        <x:is>
          <x:t xml:space="preserve">Earlier batch PostgreSQL races passed; 0148 live server unavailable.</x:t>
        </x:is>
      </x:c>
      <x:c r="F11" s="28" t="inlineStr">
        <x:is>
          <x:t xml:space="preserve">Must</x:t>
        </x:is>
      </x:c>
      <x:c r="G11" s="28" t="inlineStr">
        <x:is>
          <x:t xml:space="preserve">Pass</x:t>
        </x:is>
      </x:c>
      <x:c r="H11" s="28" t="inlineStr">
        <x:is>
          <x:t xml:space="preserve">Backend / database QA</x:t>
        </x:is>
      </x:c>
      <x:c r="I11" s="28" t="inlineStr">
        <x:is>
          <x:t xml:space="preserve">2026-10-12</x:t>
        </x:is>
      </x:c>
      <x:c r="J11" s="28" t="inlineStr">
        <x:is>
          <x:t xml:space="preserve">C:\NIHILOBA\Backend\docs\evidence\restaurants_pilot_release\restaurant_batch_pg_groups.json: stock_retention; stock_worker_preparation_final; nine named groups 168 pass/0 fail/2 skip; head 0150</x:t>
        </x:is>
      </x:c>
    </x:row>
    <x:row r="12" ht="42" customHeight="1">
      <x:c r="A12" s="6" t="inlineStr">
        <x:is>
          <x:t xml:space="preserve">A07</x:t>
        </x:is>
      </x:c>
      <x:c r="B12" s="28" t="inlineStr">
        <x:is>
          <x:t xml:space="preserve">Backend</x:t>
        </x:is>
      </x:c>
      <x:c r="C12" s="28" t="inlineStr">
        <x:is>
          <x:t xml:space="preserve">Test QR auto-accept on/off, invalid quote and shortage</x:t>
        </x:is>
      </x:c>
      <x:c r="D12" s="28" t="inlineStr">
        <x:is>
          <x:t xml:space="preserve">Canonical accepted or pending result with provenance.</x:t>
        </x:is>
      </x:c>
      <x:c r="E12" s="28" t="inlineStr">
        <x:is>
          <x:t xml:space="preserve">125 focused and 10 PostgreSQL passed for 0146 batch.</x:t>
        </x:is>
      </x:c>
      <x:c r="F12" s="28" t="inlineStr">
        <x:is>
          <x:t xml:space="preserve">Must</x:t>
        </x:is>
      </x:c>
      <x:c r="G12" s="28" t="inlineStr">
        <x:is>
          <x:t xml:space="preserve">Pass</x:t>
        </x:is>
      </x:c>
      <x:c r="H12" s="28" t="inlineStr">
        <x:is>
          <x:t xml:space="preserve">Backend QA</x:t>
        </x:is>
      </x:c>
      <x:c r="I12" s="28" t="inlineStr">
        <x:is>
          <x:t xml:space="preserve">2026-10-12</x:t>
        </x:is>
      </x:c>
      <x:c r="J12" s="28" t="inlineStr">
        <x:is>
          <x:t xml:space="preserve">C:\NIHILOBA\Backend\docs\evidence\restaurants_pilot_release\restaurant_batch_pg_groups.json: auto_accept; nine named groups 168 pass/0 fail/2 skip; head 0150</x:t>
        </x:is>
      </x:c>
    </x:row>
    <x:row r="13" ht="42" customHeight="1">
      <x:c r="A13" s="6" t="inlineStr">
        <x:is>
          <x:t xml:space="preserve">A08</x:t>
        </x:is>
      </x:c>
      <x:c r="B13" s="28" t="inlineStr">
        <x:is>
          <x:t xml:space="preserve">Backend</x:t>
        </x:is>
      </x:c>
      <x:c r="C13" s="28" t="inlineStr">
        <x:is>
          <x:t xml:space="preserve">Test table QR rotation/retirement, label snapshot and guest isolation</x:t>
        </x:is>
      </x:c>
      <x:c r="D13" s="28" t="inlineStr">
        <x:is>
          <x:t xml:space="preserve">Stale QR cannot start new visit; history stays accurate.</x:t>
        </x:is>
      </x:c>
      <x:c r="E13" s="28" t="inlineStr">
        <x:is>
          <x:t xml:space="preserve">65+7 focused and 7+2 PostgreSQL passed for 0147 batch.</x:t>
        </x:is>
      </x:c>
      <x:c r="F13" s="28" t="inlineStr">
        <x:is>
          <x:t xml:space="preserve">Must</x:t>
        </x:is>
      </x:c>
      <x:c r="G13" s="28" t="inlineStr">
        <x:is>
          <x:t xml:space="preserve">Pass</x:t>
        </x:is>
      </x:c>
      <x:c r="H13" s="28" t="inlineStr">
        <x:is>
          <x:t xml:space="preserve">Backend QA</x:t>
        </x:is>
      </x:c>
      <x:c r="I13" s="28" t="inlineStr">
        <x:is>
          <x:t xml:space="preserve">2026-10-12</x:t>
        </x:is>
      </x:c>
      <x:c r="J13" s="28" t="inlineStr">
        <x:is>
          <x:t xml:space="preserve">C:\NIHILOBA\Backend\docs\evidence\restaurants_pilot_release\restaurant_batch_pg_groups.json: guest; nine named groups 168 pass/0 fail/2 skip; head 0150</x:t>
        </x:is>
      </x:c>
    </x:row>
    <x:row r="14" ht="42" customHeight="1">
      <x:c r="A14" s="6" t="inlineStr">
        <x:is>
          <x:t xml:space="preserve">A09</x:t>
        </x:is>
      </x:c>
      <x:c r="B14" s="28" t="inlineStr">
        <x:is>
          <x:t xml:space="preserve">Backend</x:t>
        </x:is>
      </x:c>
      <x:c r="C14" s="28" t="inlineStr">
        <x:is>
          <x:t xml:space="preserve">Test reservation concurrency, deadline and authority</x:t>
        </x:is>
      </x:c>
      <x:c r="D14" s="28" t="inlineStr">
        <x:is>
          <x:t xml:space="preserve">One current decision; stale revision denied; exact ownership.</x:t>
        </x:is>
      </x:c>
      <x:c r="E14" s="28" t="inlineStr">
        <x:is>
          <x:t xml:space="preserve">108 focused, 6 policy/schema and 89 migration tests passed; no live PostgreSQL.</x:t>
        </x:is>
      </x:c>
      <x:c r="F14" s="28" t="inlineStr">
        <x:is>
          <x:t xml:space="preserve">Must</x:t>
        </x:is>
      </x:c>
      <x:c r="G14" s="28" t="inlineStr">
        <x:is>
          <x:t xml:space="preserve">Pass</x:t>
        </x:is>
      </x:c>
      <x:c r="H14" s="28" t="inlineStr">
        <x:is>
          <x:t xml:space="preserve">Backend QA</x:t>
        </x:is>
      </x:c>
      <x:c r="I14" s="28" t="inlineStr">
        <x:is>
          <x:t xml:space="preserve">2026-10-12</x:t>
        </x:is>
      </x:c>
      <x:c r="J14" s="28" t="inlineStr">
        <x:is>
          <x:t xml:space="preserve">C:\NIHILOBA\Backend\docs\evidence\restaurants_pilot_release\restaurant_batch_pg_groups.json: reservations_durable; nine named groups 168 pass/0 fail/2 skip; head 0150</x:t>
        </x:is>
      </x:c>
    </x:row>
    <x:row r="15" ht="42" customHeight="1">
      <x:c r="A15" s="6" t="inlineStr">
        <x:is>
          <x:t xml:space="preserve">A10</x:t>
        </x:is>
      </x:c>
      <x:c r="B15" s="28" t="inlineStr">
        <x:is>
          <x:t xml:space="preserve">Backend</x:t>
        </x:is>
      </x:c>
      <x:c r="C15" s="28" t="inlineStr">
        <x:is>
          <x:t xml:space="preserve">Test seller and worker grant revocation during action/replay</x:t>
        </x:is>
      </x:c>
      <x:c r="D15" s="28" t="inlineStr">
        <x:is>
          <x:t xml:space="preserve">Current authority rechecked; old cursor/retry cannot escalate.</x:t>
        </x:is>
      </x:c>
      <x:c r="E15" s="28" t="inlineStr">
        <x:is>
          <x:t xml:space="preserve">Earlier B2–B4 focused checks passed.</x:t>
        </x:is>
      </x:c>
      <x:c r="F15" s="28" t="inlineStr">
        <x:is>
          <x:t xml:space="preserve">Must</x:t>
        </x:is>
      </x:c>
      <x:c r="G15" s="28" t="inlineStr">
        <x:is>
          <x:t xml:space="preserve">Pass</x:t>
        </x:is>
      </x:c>
      <x:c r="H15" s="28" t="inlineStr">
        <x:is>
          <x:t xml:space="preserve">Backend QA</x:t>
        </x:is>
      </x:c>
      <x:c r="I15" s="28" t="inlineStr">
        <x:is>
          <x:t xml:space="preserve">2026-10-12</x:t>
        </x:is>
      </x:c>
      <x:c r="J15" s="28" t="inlineStr">
        <x:is>
          <x:t xml:space="preserve">C:\NIHILOBA\Backend\docs\evidence\restaurants_pilot_release\restaurant_batch_pg_groups.json: service_durable; stock_worker_preparation_final; nine named groups 168 pass/0 fail/2 skip; head 0150</x:t>
        </x:is>
      </x:c>
    </x:row>
    <x:row r="16" ht="42" customHeight="1">
      <x:c r="A16" s="6" t="inlineStr">
        <x:is>
          <x:t xml:space="preserve">A11</x:t>
        </x:is>
      </x:c>
      <x:c r="B16" s="28" t="inlineStr">
        <x:is>
          <x:t xml:space="preserve">Backend</x:t>
        </x:is>
      </x:c>
      <x:c r="C16" s="28" t="inlineStr">
        <x:is>
          <x:t xml:space="preserve">Test private visit cookie, pickup proof and cross-visit access</x:t>
        </x:is>
      </x:c>
      <x:c r="D16" s="28" t="inlineStr">
        <x:is>
          <x:t xml:space="preserve">QR/order number never grants private authority.</x:t>
        </x:is>
      </x:c>
      <x:c r="E16" s="28" t="inlineStr">
        <x:is>
          <x:t xml:space="preserve">09B1/09B2 focused tests passed locally.</x:t>
        </x:is>
      </x:c>
      <x:c r="F16" s="28" t="inlineStr">
        <x:is>
          <x:t xml:space="preserve">Must</x:t>
        </x:is>
      </x:c>
      <x:c r="G16" s="28" t="inlineStr">
        <x:is>
          <x:t xml:space="preserve">Pass</x:t>
        </x:is>
      </x:c>
      <x:c r="H16" s="28" t="inlineStr">
        <x:is>
          <x:t xml:space="preserve">Backend QA</x:t>
        </x:is>
      </x:c>
      <x:c r="I16" s="28" t="inlineStr">
        <x:is>
          <x:t xml:space="preserve">2026-10-12</x:t>
        </x:is>
      </x:c>
      <x:c r="J16" s="28" t="inlineStr">
        <x:is>
          <x:t xml:space="preserve">C:\NIHILOBA\Backend\docs\evidence\restaurants_pilot_release\restaurant_batch_pg_groups.json: guest; order_projection; nine named groups 168 pass/0 fail/2 skip; head 0150</x:t>
        </x:is>
      </x:c>
    </x:row>
    <x:row r="17" ht="42" customHeight="1">
      <x:c r="A17" s="6" t="inlineStr">
        <x:is>
          <x:t xml:space="preserve">A12</x:t>
        </x:is>
      </x:c>
      <x:c r="B17" s="28" t="inlineStr">
        <x:is>
          <x:t xml:space="preserve">Backend</x:t>
        </x:is>
      </x:c>
      <x:c r="C17" s="28" t="inlineStr">
        <x:is>
          <x:t xml:space="preserve">Test Kitchen/Bar line routing and once-only stock consumption</x:t>
        </x:is>
      </x:c>
      <x:c r="D17" s="28" t="inlineStr">
        <x:is>
          <x:t xml:space="preserve">Aggregate readiness and stock remain canonical.</x:t>
        </x:is>
      </x:c>
      <x:c r="E17" s="28" t="inlineStr">
        <x:is>
          <x:t xml:space="preserve">10B3 focused/PostgreSQL passed.</x:t>
        </x:is>
      </x:c>
      <x:c r="F17" s="28" t="inlineStr">
        <x:is>
          <x:t xml:space="preserve">Must</x:t>
        </x:is>
      </x:c>
      <x:c r="G17" s="28" t="inlineStr">
        <x:is>
          <x:t xml:space="preserve">Pass</x:t>
        </x:is>
      </x:c>
      <x:c r="H17" s="28" t="inlineStr">
        <x:is>
          <x:t xml:space="preserve">Backend QA</x:t>
        </x:is>
      </x:c>
      <x:c r="I17" s="28" t="inlineStr">
        <x:is>
          <x:t xml:space="preserve">2026-10-12</x:t>
        </x:is>
      </x:c>
      <x:c r="J17" s="28" t="inlineStr">
        <x:is>
          <x:t xml:space="preserve">C:\NIHILOBA\Backend\docs\evidence\restaurants_pilot_release\restaurant_batch_pg_groups.json: stock_worker_preparation_final; nine named groups 168 pass/0 fail/2 skip; head 0150</x:t>
        </x:is>
      </x:c>
    </x:row>
    <x:row r="18" ht="42" customHeight="1">
      <x:c r="A18" s="6" t="inlineStr">
        <x:is>
          <x:t xml:space="preserve">A13</x:t>
        </x:is>
      </x:c>
      <x:c r="B18" s="28" t="inlineStr">
        <x:is>
          <x:t xml:space="preserve">Backend</x:t>
        </x:is>
      </x:c>
      <x:c r="C18" s="28" t="inlineStr">
        <x:is>
          <x:t xml:space="preserve">Test CDF/USD allocation, corrections, refunds and receipts</x:t>
        </x:is>
      </x:c>
      <x:c r="D18" s="28" t="inlineStr">
        <x:is>
          <x:t xml:space="preserve">Separate currencies; no FX or provider verification claims.</x:t>
        </x:is>
      </x:c>
      <x:c r="E18" s="28" t="inlineStr">
        <x:is>
          <x:t xml:space="preserve">10B5/10F3 focused and real-Backend checks passed.</x:t>
        </x:is>
      </x:c>
      <x:c r="F18" s="28" t="inlineStr">
        <x:is>
          <x:t xml:space="preserve">Must</x:t>
        </x:is>
      </x:c>
      <x:c r="G18" s="28" t="inlineStr">
        <x:is>
          <x:t xml:space="preserve">Pass</x:t>
        </x:is>
      </x:c>
      <x:c r="H18" s="28" t="inlineStr">
        <x:is>
          <x:t xml:space="preserve">Backend QA</x:t>
        </x:is>
      </x:c>
      <x:c r="I18" s="28" t="inlineStr">
        <x:is>
          <x:t xml:space="preserve">2026-10-12</x:t>
        </x:is>
      </x:c>
      <x:c r="J18" s="28" t="inlineStr">
        <x:is>
          <x:t xml:space="preserve">C:\NIHILOBA\Backend\docs\evidence\restaurants_pilot_release\restaurant_batch_pg_groups.json: money_replay_durable; daily_financial_durable; nine named groups 168 pass/0 fail/2 skip; head 0150</x:t>
        </x:is>
      </x:c>
    </x:row>
    <x:row r="19" ht="42" customHeight="1">
      <x:c r="A19" s="6" t="inlineStr">
        <x:is>
          <x:t xml:space="preserve">A14</x:t>
        </x:is>
      </x:c>
      <x:c r="B19" s="28" t="inlineStr">
        <x:is>
          <x:t xml:space="preserve">Backend</x:t>
        </x:is>
      </x:c>
      <x:c r="C19" s="28" t="inlineStr">
        <x:is>
          <x:t xml:space="preserve">Test daily closing at local-day edge with concurrent writes</x:t>
        </x:is>
      </x:c>
      <x:c r="D19" s="28" t="inlineStr">
        <x:is>
          <x:t xml:space="preserve">Correct close boundary, immutable report and later supplement.</x:t>
        </x:is>
      </x:c>
      <x:c r="E19" s="28" t="inlineStr">
        <x:is>
          <x:t xml:space="preserve">10B6b 54 SQLite and 10 PostgreSQL passed.</x:t>
        </x:is>
      </x:c>
      <x:c r="F19" s="28" t="inlineStr">
        <x:is>
          <x:t xml:space="preserve">Must</x:t>
        </x:is>
      </x:c>
      <x:c r="G19" s="28" t="inlineStr">
        <x:is>
          <x:t xml:space="preserve">Pass</x:t>
        </x:is>
      </x:c>
      <x:c r="H19" s="28" t="inlineStr">
        <x:is>
          <x:t xml:space="preserve">Backend QA</x:t>
        </x:is>
      </x:c>
      <x:c r="I19" s="28" t="inlineStr">
        <x:is>
          <x:t xml:space="preserve">2026-10-12</x:t>
        </x:is>
      </x:c>
      <x:c r="J19" s="28" t="inlineStr">
        <x:is>
          <x:t xml:space="preserve">C:\NIHILOBA\Backend\docs\evidence\restaurants_pilot_release\restaurant_batch_pg_groups.json: daily_financial_durable; nine named groups 168 pass/0 fail/2 skip; head 0150</x:t>
        </x:is>
      </x:c>
    </x:row>
    <x:row r="20" ht="42" customHeight="1">
      <x:c r="A20" s="6" t="inlineStr">
        <x:is>
          <x:t xml:space="preserve">A15</x:t>
        </x:is>
      </x:c>
      <x:c r="B20" s="28" t="inlineStr">
        <x:is>
          <x:t xml:space="preserve">Backend</x:t>
        </x:is>
      </x:c>
      <x:c r="C20" s="28" t="inlineStr">
        <x:is>
          <x:t xml:space="preserve">Run retention, erasure, preservation and maintenance checks</x:t>
        </x:is>
      </x:c>
      <x:c r="D20" s="28" t="inlineStr">
        <x:is>
          <x:t xml:space="preserve">Expired data handled; held evidence preserved and minimized.</x:t>
        </x:is>
      </x:c>
      <x:c r="E20" s="28" t="inlineStr">
        <x:is>
          <x:t xml:space="preserve">Batch handoffs report focused coverage; operation not accepted live.</x:t>
        </x:is>
      </x:c>
      <x:c r="F20" s="28" t="inlineStr">
        <x:is>
          <x:t xml:space="preserve">Must</x:t>
        </x:is>
      </x:c>
      <x:c r="G20" s="28" t="inlineStr">
        <x:is>
          <x:t xml:space="preserve">Pass</x:t>
        </x:is>
      </x:c>
      <x:c r="H20" s="28" t="inlineStr">
        <x:is>
          <x:t xml:space="preserve">Backend QA</x:t>
        </x:is>
      </x:c>
      <x:c r="I20" s="28" t="inlineStr">
        <x:is>
          <x:t xml:space="preserve">2026-10-12</x:t>
        </x:is>
      </x:c>
      <x:c r="J20" s="28" t="inlineStr">
        <x:is>
          <x:t xml:space="preserve">C:\NIHILOBA\Backend\docs\evidence\restaurants_pilot_release\restaurant_batch_pg_groups.json: stock_retention; maintenance_durable; nine named groups 168 pass/0 fail/2 skip; head 0150</x:t>
        </x:is>
      </x:c>
    </x:row>
    <x:row r="21" ht="42" customHeight="1">
      <x:c r="A21" s="6" t="inlineStr">
        <x:is>
          <x:t xml:space="preserve">A16</x:t>
        </x:is>
      </x:c>
      <x:c r="B21" s="28" t="inlineStr">
        <x:is>
          <x:t xml:space="preserve">Backend</x:t>
        </x:is>
      </x:c>
      <x:c r="C21" s="28" t="inlineStr">
        <x:is>
          <x:t xml:space="preserve">Test closed intake, downgrade and outstanding recovery</x:t>
        </x:is>
      </x:c>
      <x:c r="D21" s="28" t="inlineStr">
        <x:is>
          <x:t xml:space="preserve">New intake refused; existing obligations resolvable.</x:t>
        </x:is>
      </x:c>
      <x:c r="E21" s="28" t="inlineStr">
        <x:is>
          <x:t xml:space="preserve">Focused checks exist across batches.</x:t>
        </x:is>
      </x:c>
      <x:c r="F21" s="28" t="inlineStr">
        <x:is>
          <x:t xml:space="preserve">Must</x:t>
        </x:is>
      </x:c>
      <x:c r="G21" s="28" t="inlineStr">
        <x:is>
          <x:t xml:space="preserve">Pass</x:t>
        </x:is>
      </x:c>
      <x:c r="H21" s="28" t="inlineStr">
        <x:is>
          <x:t xml:space="preserve">Backend QA</x:t>
        </x:is>
      </x:c>
      <x:c r="I21" s="28" t="inlineStr">
        <x:is>
          <x:t xml:space="preserve">2026-10-12</x:t>
        </x:is>
      </x:c>
      <x:c r="J21" s="28" t="inlineStr">
        <x:is>
          <x:t xml:space="preserve">C:\NIHILOBA\Backend\docs\evidence\restaurants_pilot_release\restaurant_six_after.xml; restaurant_related.xml: admission-loss recovery and current proof paths passed</x:t>
        </x:is>
      </x:c>
    </x:row>
    <x:row r="22" ht="42" customHeight="1">
      <x:c r="A22" s="6" t="inlineStr">
        <x:is>
          <x:t xml:space="preserve">A17</x:t>
        </x:is>
      </x:c>
      <x:c r="B22" s="28" t="inlineStr">
        <x:is>
          <x:t xml:space="preserve">Backend</x:t>
        </x:is>
      </x:c>
      <x:c r="C22" s="28" t="inlineStr">
        <x:is>
          <x:t xml:space="preserve">Compile Python and duplicate translation keys</x:t>
        </x:is>
      </x:c>
      <x:c r="D22" s="28" t="inlineStr">
        <x:is>
          <x:t xml:space="preserve">No syntax or duplicate-key errors.</x:t>
        </x:is>
      </x:c>
      <x:c r="E22" s="28" t="inlineStr">
        <x:is>
          <x:t xml:space="preserve">Passed in recent handoffs.</x:t>
        </x:is>
      </x:c>
      <x:c r="F22" s="28" t="inlineStr">
        <x:is>
          <x:t xml:space="preserve">Must</x:t>
        </x:is>
      </x:c>
      <x:c r="G22" s="28" t="inlineStr">
        <x:is>
          <x:t xml:space="preserve">Pass</x:t>
        </x:is>
      </x:c>
      <x:c r="H22" s="28" t="inlineStr">
        <x:is>
          <x:t xml:space="preserve">Backend QA</x:t>
        </x:is>
      </x:c>
      <x:c r="I22" s="28" t="inlineStr">
        <x:is>
          <x:t xml:space="preserve">2026-10-12</x:t>
        </x:is>
      </x:c>
      <x:c r="J22" s="28" t="inlineStr">
        <x:is>
          <x:t xml:space="preserve">C:\NIHILOBA\Backend\docs\evidence\restaurants_pilot_release\restaurant_batch_static.txt: compilation and duplicate translation-key check passed</x:t>
        </x:is>
      </x:c>
    </x:row>
    <x:row r="23" ht="42" customHeight="1">
      <x:c r="A23" s="6" t="inlineStr">
        <x:is>
          <x:t xml:space="preserve">A18</x:t>
        </x:is>
      </x:c>
      <x:c r="B23" s="28" t="inlineStr">
        <x:is>
          <x:t xml:space="preserve">Backend</x:t>
        </x:is>
      </x:c>
      <x:c r="C23" s="28" t="inlineStr">
        <x:is>
          <x:t xml:space="preserve">Inspect log/privacy assertions in full suite</x:t>
        </x:is>
      </x:c>
      <x:c r="D23" s="28" t="inlineStr">
        <x:is>
          <x:t xml:space="preserve">No secrets, private visit tokens or pickup proofs leak.</x:t>
        </x:is>
      </x:c>
      <x:c r="E23" s="28" t="inlineStr">
        <x:is>
          <x:t xml:space="preserve">Earlier 12 privacy logging checks passed; final suite pending.</x:t>
        </x:is>
      </x:c>
      <x:c r="F23" s="28" t="inlineStr">
        <x:is>
          <x:t xml:space="preserve">Must</x:t>
        </x:is>
      </x:c>
      <x:c r="G23" s="28" t="inlineStr">
        <x:is>
          <x:t xml:space="preserve">Partial</x:t>
        </x:is>
      </x:c>
      <x:c r="H23" s="28" t="inlineStr">
        <x:is>
          <x:t xml:space="preserve">Backend security QA</x:t>
        </x:is>
      </x:c>
      <x:c r="I23" s="28" t="inlineStr">
        <x:is>
          <x:t xml:space="preserve">2026-10-12</x:t>
        </x:is>
      </x:c>
      <x:c r="J23" s="28" t="inlineStr">
        <x:is>
          <x:t xml:space="preserve">C:\NIHILOBA\Backend\docs\evidence\restaurants_pilot_release\backend_closure_restaurant_focused.xml (Restaurant privacy passed); backend_closure_final_suite.json (inherited Employment listing privacy assertion remains blocked at navigation)</x:t>
        </x:is>
      </x:c>
    </x:row>
    <x:row r="24" ht="42" customHeight="1">
      <x:c r="A24" s="6" t="inlineStr">
        <x:is>
          <x:t xml:space="preserve">A19</x:t>
        </x:is>
      </x:c>
      <x:c r="B24" s="28" t="inlineStr">
        <x:is>
          <x:t xml:space="preserve">Website</x:t>
        </x:is>
      </x:c>
      <x:c r="C24" s="28" t="inlineStr">
        <x:is>
          <x:t xml:space="preserve">Run production build and typecheck</x:t>
        </x:is>
      </x:c>
      <x:c r="D24" s="28" t="inlineStr">
        <x:is>
          <x:t xml:space="preserve">Both succeed on exact release commit.</x:t>
        </x:is>
      </x:c>
      <x:c r="E24" s="28" t="inlineStr">
        <x:is>
          <x:t xml:space="preserve">Passed for 0146–0148 feature batches.</x:t>
        </x:is>
      </x:c>
      <x:c r="F24" s="28" t="inlineStr">
        <x:is>
          <x:t xml:space="preserve">Must</x:t>
        </x:is>
      </x:c>
      <x:c r="G24" s="28" t="inlineStr">
        <x:is>
          <x:t xml:space="preserve">Pass</x:t>
        </x:is>
      </x:c>
      <x:c r="H24" s="28" t="inlineStr">
        <x:is>
          <x:t xml:space="preserve">Website engineer</x:t>
        </x:is>
      </x:c>
      <x:c r="I24" s="28" t="inlineStr">
        <x:is>
          <x:t xml:space="preserve">2026-10-11</x:t>
        </x:is>
      </x:c>
      <x:c r="J24" s="28" t="inlineStr">
        <x:is>
          <x:t xml:space="preserve">C:\NIHILOBA\Backend\docs\evidence\restaurants_pilot_release\website_build_current.txt; website_typecheck_final.txt: final-source build/typecheck passed</x:t>
        </x:is>
      </x:c>
    </x:row>
    <x:row r="25" ht="42" customHeight="1">
      <x:c r="A25" s="6" t="inlineStr">
        <x:is>
          <x:t xml:space="preserve">A20</x:t>
        </x:is>
      </x:c>
      <x:c r="B25" s="28" t="inlineStr">
        <x:is>
          <x:t xml:space="preserve">Website</x:t>
        </x:is>
      </x:c>
      <x:c r="C25" s="28" t="inlineStr">
        <x:is>
          <x:t xml:space="preserve">Run full unit/browser suites and baseline comparison</x:t>
        </x:is>
      </x:c>
      <x:c r="D25" s="28" t="inlineStr">
        <x:is>
          <x:t xml:space="preserve">Zero unclassified new failures; record inherited failures.</x:t>
        </x:is>
      </x:c>
      <x:c r="E25" s="28" t="inlineStr">
        <x:is>
          <x:t xml:space="preserve">Earlier 8 Website unit failures and 17 browser failures documented; final comparison pending.</x:t>
        </x:is>
      </x:c>
      <x:c r="F25" s="28" t="inlineStr">
        <x:is>
          <x:t xml:space="preserve">Must</x:t>
        </x:is>
      </x:c>
      <x:c r="G25" s="28" t="inlineStr">
        <x:is>
          <x:t xml:space="preserve">Fail</x:t>
        </x:is>
      </x:c>
      <x:c r="H25" s="28" t="inlineStr">
        <x:is>
          <x:t xml:space="preserve">Website QA</x:t>
        </x:is>
      </x:c>
      <x:c r="I25" s="28" t="inlineStr">
        <x:is>
          <x:t xml:space="preserve">2026-10-11</x:t>
        </x:is>
      </x:c>
      <x:c r="J25" s="28" t="inlineStr">
        <x:is>
          <x:t xml:space="preserve">C:\NIHILOBA\Backend\docs\evidence\restaurants_pilot_release\website_units_final.txt: 376 pass/4 inherited fail; website_browser_final_verified.txt: 74 pass/32 skip; website_31_identity_disposition.json: 31 fixture-related</x:t>
        </x:is>
      </x:c>
    </x:row>
    <x:row r="26" ht="42" customHeight="1">
      <x:c r="A26" s="6" t="inlineStr">
        <x:is>
          <x:t xml:space="preserve">A21</x:t>
        </x:is>
      </x:c>
      <x:c r="B26" s="28" t="inlineStr">
        <x:is>
          <x:t xml:space="preserve">Website</x:t>
        </x:is>
      </x:c>
      <x:c r="C26" s="28" t="inlineStr">
        <x:is>
          <x:t xml:space="preserve">Run lint and classify all findings</x:t>
        </x:is>
      </x:c>
      <x:c r="D26" s="28" t="inlineStr">
        <x:is>
          <x:t xml:space="preserve">No new findings; inherited 9 errors/2 warnings tracked.</x:t>
        </x:is>
      </x:c>
      <x:c r="E26" s="28" t="inlineStr">
        <x:is>
          <x:t xml:space="preserve">Changed-file lint passed; repo lint inherited findings.</x:t>
        </x:is>
      </x:c>
      <x:c r="F26" s="28" t="inlineStr">
        <x:is>
          <x:t xml:space="preserve">Must</x:t>
        </x:is>
      </x:c>
      <x:c r="G26" s="28" t="inlineStr">
        <x:is>
          <x:t xml:space="preserve">Fail</x:t>
        </x:is>
      </x:c>
      <x:c r="H26" s="28" t="inlineStr">
        <x:is>
          <x:t xml:space="preserve">Website engineer</x:t>
        </x:is>
      </x:c>
      <x:c r="I26" s="28" t="inlineStr">
        <x:is>
          <x:t xml:space="preserve">2026-10-11</x:t>
        </x:is>
      </x:c>
      <x:c r="J26" s="28" t="inlineStr">
        <x:is>
          <x:t xml:space="preserve">C:\NIHILOBA\Backend\docs\evidence\restaurants_pilot_release\website_lint_current.txt: inherited 9 errors/2 warnings</x:t>
        </x:is>
      </x:c>
    </x:row>
    <x:row r="27" ht="42" customHeight="1">
      <x:c r="A27" s="6" t="inlineStr">
        <x:is>
          <x:t xml:space="preserve">A22</x:t>
        </x:is>
      </x:c>
      <x:c r="B27" s="28" t="inlineStr">
        <x:is>
          <x:t xml:space="preserve">Website</x:t>
        </x:is>
      </x:c>
      <x:c r="C27" s="28" t="inlineStr">
        <x:is>
          <x:t xml:space="preserve">Run real-Backend guest, table, reservation and money browser flows against current head 0149.</x:t>
        </x:is>
      </x:c>
      <x:c r="D27" s="28" t="inlineStr">
        <x:is>
          <x:t xml:space="preserve">All customer flows pass with 0148 Backend.</x:t>
        </x:is>
      </x:c>
      <x:c r="E27" s="28" t="inlineStr">
        <x:is>
          <x:t xml:space="preserve">Separate feature browser flows passed; not one final-stack run.</x:t>
        </x:is>
      </x:c>
      <x:c r="F27" s="28" t="inlineStr">
        <x:is>
          <x:t xml:space="preserve">Must</x:t>
        </x:is>
      </x:c>
      <x:c r="G27" s="28" t="inlineStr">
        <x:is>
          <x:t xml:space="preserve">Partial</x:t>
        </x:is>
      </x:c>
      <x:c r="H27" s="28" t="inlineStr">
        <x:is>
          <x:t xml:space="preserve">Website / Business QA</x:t>
        </x:is>
      </x:c>
      <x:c r="I27" s="28" t="inlineStr">
        <x:is>
          <x:t xml:space="preserve">2026-10-11</x:t>
        </x:is>
      </x:c>
      <x:c r="J27" s="28" t="inlineStr">
        <x:is>
          <x:t xml:space="preserve">C:\NIHILOBA\Backend\docs\evidence\restaurants_pilot_release\website_reservation_real_backend_final.txt: 1 cross-surface reservation; integrated_website_guest_full_final.txt: 20 pass; integrated_website_service.txt: 3 pass; Business money browser: 1 pass. Separate SQLite fixtures, not migrated-head browser acceptance</x:t>
        </x:is>
      </x:c>
    </x:row>
    <x:row r="28" ht="42" customHeight="1">
      <x:c r="A28" s="6" t="inlineStr">
        <x:is>
          <x:t xml:space="preserve">A23</x:t>
        </x:is>
      </x:c>
      <x:c r="B28" s="28" t="inlineStr">
        <x:is>
          <x:t xml:space="preserve">Business</x:t>
        </x:is>
      </x:c>
      <x:c r="C28" s="28" t="inlineStr">
        <x:is>
          <x:t xml:space="preserve">Run production build and typecheck</x:t>
        </x:is>
      </x:c>
      <x:c r="D28" s="28" t="inlineStr">
        <x:is>
          <x:t xml:space="preserve">Both succeed on exact release commit.</x:t>
        </x:is>
      </x:c>
      <x:c r="E28" s="28" t="inlineStr">
        <x:is>
          <x:t xml:space="preserve">Passed for 0146–0148 feature batches.</x:t>
        </x:is>
      </x:c>
      <x:c r="F28" s="28" t="inlineStr">
        <x:is>
          <x:t xml:space="preserve">Must</x:t>
        </x:is>
      </x:c>
      <x:c r="G28" s="28" t="inlineStr">
        <x:is>
          <x:t xml:space="preserve">Pass</x:t>
        </x:is>
      </x:c>
      <x:c r="H28" s="28" t="inlineStr">
        <x:is>
          <x:t xml:space="preserve">Business engineer</x:t>
        </x:is>
      </x:c>
      <x:c r="I28" s="28" t="inlineStr">
        <x:is>
          <x:t xml:space="preserve">2026-10-11</x:t>
        </x:is>
      </x:c>
      <x:c r="J28" s="28" t="inlineStr">
        <x:is>
          <x:t xml:space="preserve">C:\NIHILOBA\Backend\docs\evidence\restaurants_pilot_release\business_build_current.txt; business_typecheck_latest.txt: current-source build/typecheck passed</x:t>
        </x:is>
      </x:c>
    </x:row>
    <x:row r="29" ht="42" customHeight="1">
      <x:c r="A29" s="6" t="inlineStr">
        <x:is>
          <x:t xml:space="preserve">A24</x:t>
        </x:is>
      </x:c>
      <x:c r="B29" s="28" t="inlineStr">
        <x:is>
          <x:t xml:space="preserve">Business</x:t>
        </x:is>
      </x:c>
      <x:c r="C29" s="28" t="inlineStr">
        <x:is>
          <x:t xml:space="preserve">Run full units/browser and baseline comparison</x:t>
        </x:is>
      </x:c>
      <x:c r="D29" s="28" t="inlineStr">
        <x:is>
          <x:t xml:space="preserve">Zero unclassified new failures; inherited 20 unit failures tracked.</x:t>
        </x:is>
      </x:c>
      <x:c r="E29" s="28" t="inlineStr">
        <x:is>
          <x:t xml:space="preserve">Earlier full suite retained 20 inherited failures.</x:t>
        </x:is>
      </x:c>
      <x:c r="F29" s="28" t="inlineStr">
        <x:is>
          <x:t xml:space="preserve">Must</x:t>
        </x:is>
      </x:c>
      <x:c r="G29" s="28" t="inlineStr">
        <x:is>
          <x:t xml:space="preserve">Pass</x:t>
        </x:is>
      </x:c>
      <x:c r="H29" s="28" t="inlineStr">
        <x:is>
          <x:t xml:space="preserve">Business QA</x:t>
        </x:is>
      </x:c>
      <x:c r="I29" s="28" t="inlineStr">
        <x:is>
          <x:t xml:space="preserve">2026-10-11</x:t>
        </x:is>
      </x:c>
      <x:c r="J29" s="28" t="inlineStr">
        <x:is>
          <x:t xml:space="preserve">C:\NIHILOBA\Backend\docs\evidence\restaurants_pilot_release\business_units_final.txt: 496 passed; business_browser_current.txt: 34 pass/8 documented real-Backend skips/0 fail</x:t>
        </x:is>
      </x:c>
    </x:row>
    <x:row r="30" ht="42" customHeight="1">
      <x:c r="A30" s="6" t="inlineStr">
        <x:is>
          <x:t xml:space="preserve">A25</x:t>
        </x:is>
      </x:c>
      <x:c r="B30" s="28" t="inlineStr">
        <x:is>
          <x:t xml:space="preserve">Business</x:t>
        </x:is>
      </x:c>
      <x:c r="C30" s="28" t="inlineStr">
        <x:is>
          <x:t xml:space="preserve">Run lint and classify findings</x:t>
        </x:is>
      </x:c>
      <x:c r="D30" s="28" t="inlineStr">
        <x:is>
          <x:t xml:space="preserve">No new findings; inherited 2 errors/1 warning tracked.</x:t>
        </x:is>
      </x:c>
      <x:c r="E30" s="28" t="inlineStr">
        <x:is>
          <x:t xml:space="preserve">Changed-file lint passed; repo lint inherited findings.</x:t>
        </x:is>
      </x:c>
      <x:c r="F30" s="28" t="inlineStr">
        <x:is>
          <x:t xml:space="preserve">Must</x:t>
        </x:is>
      </x:c>
      <x:c r="G30" s="28" t="inlineStr">
        <x:is>
          <x:t xml:space="preserve">Fail</x:t>
        </x:is>
      </x:c>
      <x:c r="H30" s="28" t="inlineStr">
        <x:is>
          <x:t xml:space="preserve">Business engineer</x:t>
        </x:is>
      </x:c>
      <x:c r="I30" s="28" t="inlineStr">
        <x:is>
          <x:t xml:space="preserve">2026-10-11</x:t>
        </x:is>
      </x:c>
      <x:c r="J30" s="28" t="inlineStr">
        <x:is>
          <x:t xml:space="preserve">C:\NIHILOBA\Backend\docs\evidence\restaurants_pilot_release\business_lint_latest.txt: inherited 2 errors/1 warning; no new lint finding</x:t>
        </x:is>
      </x:c>
    </x:row>
    <x:row r="31" ht="42" customHeight="1">
      <x:c r="A31" s="6" t="inlineStr">
        <x:is>
          <x:t xml:space="preserve">A26</x:t>
        </x:is>
      </x:c>
      <x:c r="B31" s="28" t="inlineStr">
        <x:is>
          <x:t xml:space="preserve">Business</x:t>
        </x:is>
      </x:c>
      <x:c r="C31" s="28" t="inlineStr">
        <x:is>
          <x:t xml:space="preserve">Run real-Backend owner/staff journey against current head 0149.</x:t>
        </x:is>
      </x:c>
      <x:c r="D31" s="28" t="inlineStr">
        <x:is>
          <x:t xml:space="preserve">Tables, reservations, Service, stations, stock and close work together.</x:t>
        </x:is>
      </x:c>
      <x:c r="E31" s="28" t="inlineStr">
        <x:is>
          <x:t xml:space="preserve">Separate browser flows passed, not final integrated run.</x:t>
        </x:is>
      </x:c>
      <x:c r="F31" s="28" t="inlineStr">
        <x:is>
          <x:t xml:space="preserve">Must</x:t>
        </x:is>
      </x:c>
      <x:c r="G31" s="28" t="inlineStr">
        <x:is>
          <x:t xml:space="preserve">Partial</x:t>
        </x:is>
      </x:c>
      <x:c r="H31" s="28" t="inlineStr">
        <x:is>
          <x:t xml:space="preserve">Business / Backend QA</x:t>
        </x:is>
      </x:c>
      <x:c r="I31" s="28" t="inlineStr">
        <x:is>
          <x:t xml:space="preserve">2026-10-11</x:t>
        </x:is>
      </x:c>
      <x:c r="J31" s="28" t="inlineStr">
        <x:is>
          <x:t xml:space="preserve">C:\NIHILOBA\Backend\docs\evidence\restaurants_pilot_release\integrated_business_operations.txt: Service/money/daily 3 pass, preparation fixture reset needed; integrated_business_preparation_corrected.txt: 1 pass; integrated_business_stock.txt: 1 pass. Separate journeys; retired combined fixture and observed workday open</x:t>
        </x:is>
      </x:c>
    </x:row>
    <x:row r="32" ht="42" customHeight="1">
      <x:c r="A32" s="6" t="inlineStr">
        <x:is>
          <x:t xml:space="preserve">A27</x:t>
        </x:is>
      </x:c>
      <x:c r="B32" s="28" t="inlineStr">
        <x:is>
          <x:t xml:space="preserve">Integrated</x:t>
        </x:is>
      </x:c>
      <x:c r="C32" s="28" t="inlineStr">
        <x:is>
          <x:t xml:space="preserve">Load test shared guest proxy and QR submission rate limits</x:t>
        </x:is>
      </x:c>
      <x:c r="D32" s="28" t="inlineStr">
        <x:is>
          <x:t xml:space="preserve">Capacity and abuse limits meet intended pilot traffic.</x:t>
        </x:is>
      </x:c>
      <x:c r="E32" s="28" t="inlineStr">
        <x:is>
          <x:t xml:space="preserve">09B2 handoff flags shared proxy capacity.</x:t>
        </x:is>
      </x:c>
      <x:c r="F32" s="28" t="inlineStr">
        <x:is>
          <x:t xml:space="preserve">Must</x:t>
        </x:is>
      </x:c>
      <x:c r="G32" s="28" t="inlineStr">
        <x:is>
          <x:t xml:space="preserve">Partial</x:t>
        </x:is>
      </x:c>
      <x:c r="H32" s="28" t="inlineStr">
        <x:is>
          <x:t xml:space="preserve">Backend / Website engineer</x:t>
        </x:is>
      </x:c>
      <x:c r="I32" s="28" t="inlineStr">
        <x:is>
          <x:t xml:space="preserve">2026-10-11</x:t>
        </x:is>
      </x:c>
      <x:c r="J32" s="28" t="inlineStr">
        <x:is>
          <x:t xml:space="preserve">C:\NIHILOBA\Backend\docs\evidence\restaurants_pilot_release\https_guest_proxy_probe.txt: 12 separate browsers admitted; 11th visit from one browser 429 with Retry-After; 300 aggregate cap not load accepted</x:t>
        </x:is>
      </x:c>
    </x:row>
    <x:row r="33" ht="42" customHeight="1">
      <x:c r="A33" s="6" t="inlineStr">
        <x:is>
          <x:t xml:space="preserve">A28</x:t>
        </x:is>
      </x:c>
      <x:c r="B33" s="28" t="inlineStr">
        <x:is>
          <x:t xml:space="preserve">Integrated</x:t>
        </x:is>
      </x:c>
      <x:c r="C33" s="28" t="inlineStr">
        <x:is>
          <x:t xml:space="preserve">Verify production-like TLS, Origin, cookie and cache settings</x:t>
        </x:is>
      </x:c>
      <x:c r="D33" s="28" t="inlineStr">
        <x:is>
          <x:t xml:space="preserve">Private visits and protected APIs work without cross-origin leakage.</x:t>
        </x:is>
      </x:c>
      <x:c r="E33" s="28" t="inlineStr">
        <x:is>
          <x:t xml:space="preserve">Live configuration acceptance pending.</x:t>
        </x:is>
      </x:c>
      <x:c r="F33" s="28" t="inlineStr">
        <x:is>
          <x:t xml:space="preserve">Must</x:t>
        </x:is>
      </x:c>
      <x:c r="G33" s="28" t="inlineStr">
        <x:is>
          <x:t xml:space="preserve">Partial</x:t>
        </x:is>
      </x:c>
      <x:c r="H33" s="28" t="inlineStr">
        <x:is>
          <x:t xml:space="preserve">Infrastructure / release engineer</x:t>
        </x:is>
      </x:c>
      <x:c r="I33" s="28" t="inlineStr">
        <x:is>
          <x:t xml:space="preserve">2026-10-11</x:t>
        </x:is>
      </x:c>
      <x:c r="J33" s="28" t="inlineStr">
        <x:is>
          <x:t xml:space="preserve">C:\NIHILOBA\Backend\docs\evidence\restaurants_pilot_release\https_guest_proxy_probe.txt: local TLS, Origin, private cookie/cache, visit isolation passed; deployed direct-port isolation untested</x:t>
        </x:is>
      </x:c>
    </x:row>
    <x:row r="34" ht="65" customHeight="1">
      <x:c r="A34" s="6" t="inlineStr">
        <x:is>
          <x:t xml:space="preserve">A29</x:t>
        </x:is>
      </x:c>
      <x:c r="B34" s="28" t="inlineStr">
        <x:is>
          <x:t xml:space="preserve">Integrated</x:t>
        </x:is>
      </x:c>
      <x:c r="C34" s="28" t="inlineStr">
        <x:is>
          <x:t xml:space="preserve">Exercise WhatsApp message retry/provider failure in four languages</x:t>
        </x:is>
      </x:c>
      <x:c r="D34" s="28" t="inlineStr">
        <x:is>
          <x:t xml:space="preserve">Correct recovery; no false delivery/read claim.</x:t>
        </x:is>
      </x:c>
      <x:c r="E34" s="28" t="inlineStr">
        <x:is>
          <x:t xml:space="preserve">Backend photo checks and Personal web upload/recovery confirmed locally in FR/EN/LN/SW. Real-phone and Meta acceptance pending.</x:t>
        </x:is>
      </x:c>
      <x:c r="F34" s="28" t="inlineStr">
        <x:is>
          <x:t xml:space="preserve">Must</x:t>
        </x:is>
      </x:c>
      <x:c r="G34" s="28" t="inlineStr">
        <x:is>
          <x:t xml:space="preserve">Blocked</x:t>
        </x:is>
      </x:c>
      <x:c r="H34" s="28" t="inlineStr">
        <x:is>
          <x:t xml:space="preserve">Meta operations + language reviewers</x:t>
        </x:is>
      </x:c>
      <x:c r="I34" s="28" t="inlineStr">
        <x:is>
          <x:t xml:space="preserve">2026-10-12</x:t>
        </x:is>
      </x:c>
      <x:c r="J34" s="28" t="inlineStr">
        <x:is>
          <x:t xml:space="preserve">Backend restaurants_photo_contract.md; Website docs/restaurants-mobile-photos.md. Native language and live provider acceptance still required.</x:t>
        </x:is>
      </x:c>
    </x:row>
    <x:row r="35" ht="42" customHeight="1">
      <x:c r="A35" s="6" t="inlineStr">
        <x:is>
          <x:t xml:space="preserve">A30</x:t>
        </x:is>
      </x:c>
      <x:c r="B35" s="28" t="inlineStr">
        <x:is>
          <x:t xml:space="preserve">Integrated</x:t>
        </x:is>
      </x:c>
      <x:c r="C35" s="28" t="inlineStr">
        <x:is>
          <x:t xml:space="preserve">Run maintenance jobs against current schema</x:t>
        </x:is>
      </x:c>
      <x:c r="D35" s="28" t="inlineStr">
        <x:is>
          <x:t xml:space="preserve">Expiry, retention and notification recovery execute safely.</x:t>
        </x:is>
      </x:c>
      <x:c r="E35" s="28" t="inlineStr">
        <x:is>
          <x:t xml:space="preserve">Existing runner reused; live operation pending.</x:t>
        </x:is>
      </x:c>
      <x:c r="F35" s="28" t="inlineStr">
        <x:is>
          <x:t xml:space="preserve">Must</x:t>
        </x:is>
      </x:c>
      <x:c r="G35" s="28" t="inlineStr">
        <x:is>
          <x:t xml:space="preserve">Partial</x:t>
        </x:is>
      </x:c>
      <x:c r="H35" s="28" t="inlineStr">
        <x:is>
          <x:t xml:space="preserve">Database / operations engineer</x:t>
        </x:is>
      </x:c>
      <x:c r="I35" s="28" t="inlineStr">
        <x:is>
          <x:t xml:space="preserve">2026-10-12</x:t>
        </x:is>
      </x:c>
      <x:c r="J35" s="28" t="inlineStr">
        <x:is>
          <x:t xml:space="preserve">Existing maintenance now includes bounded photo orphan/replacement cleanup and preservation holds. See restaurants_photo_contract.md; live provider cleanup remains open.</x:t>
        </x:is>
      </x:c>
    </x:row>
    <x:row r="36" ht="42" customHeight="1">
      <x:c r="A36" s="6" t="inlineStr">
        <x:is>
          <x:t xml:space="preserve">A31</x:t>
        </x:is>
      </x:c>
      <x:c r="B36" s="28" t="inlineStr">
        <x:is>
          <x:t xml:space="preserve">Integrated</x:t>
        </x:is>
      </x:c>
      <x:c r="C36" s="28" t="inlineStr">
        <x:is>
          <x:t xml:space="preserve">Check final docs, rollout order and diff cleanliness</x:t>
        </x:is>
      </x:c>
      <x:c r="D36" s="28" t="inlineStr">
        <x:is>
          <x:t xml:space="preserve">0151 then Backend/maintenance then web photo editor; no intake enablement.</x:t>
        </x:is>
      </x:c>
      <x:c r="E36" s="28" t="inlineStr">
        <x:is>
          <x:t xml:space="preserve">Handoffs describe rollout; no deployment.</x:t>
        </x:is>
      </x:c>
      <x:c r="F36" s="28" t="inlineStr">
        <x:is>
          <x:t xml:space="preserve">Must</x:t>
        </x:is>
      </x:c>
      <x:c r="G36" s="28" t="inlineStr">
        <x:is>
          <x:t xml:space="preserve">Blocked</x:t>
        </x:is>
      </x:c>
      <x:c r="H36" s="28" t="inlineStr">
        <x:is>
          <x:t xml:space="preserve">Release lead + support lead</x:t>
        </x:is>
      </x:c>
      <x:c r="I36" s="28" t="inlineStr">
        <x:is>
          <x:t xml:space="preserve">2026-10-11</x:t>
        </x:is>
      </x:c>
      <x:c r="J36" s="28" t="inlineStr">
        <x:is>
          <x:t xml:space="preserve">C:\NIHILOBA\Backend\docs\evidence\restaurants_pilot_release\git diff --check passed; tracker review structurally verified; guide left staged by user instruction pending every-page render; live release acceptance open</x:t>
        </x:is>
      </x:c>
    </x:row>
    <x:row r="37" ht="110" customHeight="1">
      <x:c r="A37" s="6" t="inlineStr">
        <x:is>
          <x:t xml:space="preserve">P01</x:t>
        </x:is>
      </x:c>
      <x:c r="B37" s="28" t="inlineStr">
        <x:is>
          <x:t xml:space="preserve">All three</x:t>
        </x:is>
      </x:c>
      <x:c r="C37" s="28" t="inlineStr">
        <x:is>
          <x:t xml:space="preserve">Restaurant pilot automated gate</x:t>
        </x:is>
      </x:c>
      <x:c r="D37" s="28" t="inlineStr">
        <x:is>
          <x:t xml:space="preserve">Every required scoped check passes; no unexplained skips.</x:t>
        </x:is>
      </x:c>
      <x:c r="E37" s="28" t="inlineStr">
        <x:is>
          <x:t xml:space="preserve">Separate from historical platform-wide failures.</x:t>
        </x:is>
      </x:c>
      <x:c r="F37" s="28" t="inlineStr">
        <x:is>
          <x:t xml:space="preserve">Must</x:t>
        </x:is>
      </x:c>
      <x:c r="G37" s="20" t="inlineStr">
        <x:is>
          <x:t xml:space="preserve">Partial</x:t>
        </x:is>
      </x:c>
      <x:c r="H37" s="28" t="inlineStr">
        <x:is>
          <x:t xml:space="preserve">Pilot engineering</x:t>
        </x:is>
      </x:c>
      <x:c r="I37" s="28" t="inlineStr">
        <x:is>
          <x:t xml:space="preserve">2026-10-13</x:t>
        </x:is>
      </x:c>
      <x:c r="J37" s="28" t="inlineStr">
        <x:is>
          <x:t xml:space="preserve">C:\NIHILOBA\Backend\docs\evidence\restaurant_pilot_gate\results.json
2026-10-13 MGT01: MGT01 implementation and scoped corrections pass. Consolidated final-tree gate, complete browser sets and staging acceptance remain required.</x:t>
        </x:is>
      </x:c>
    </x:row>
    <x:row r="38" ht="156" customHeight="1">
      <x:c r="A38" s="6" t="inlineStr">
        <x:is>
          <x:t xml:space="preserve">P02</x:t>
        </x:is>
      </x:c>
      <x:c r="B38" s="28" t="inlineStr">
        <x:is>
          <x:t xml:space="preserve">Backend</x:t>
        </x:is>
      </x:c>
      <x:c r="C38" s="28" t="inlineStr">
        <x:is>
          <x:t xml:space="preserve">Restaurant and shared SQLite tests</x:t>
        </x:is>
      </x:c>
      <x:c r="D38" s="28" t="inlineStr">
        <x:is>
          <x:t xml:space="preserve">Required scoped check</x:t>
        </x:is>
      </x:c>
      <x:c r="E38" s="28" t="inlineStr">
        <x:is>
          <x:t xml:space="preserve">Current combined source; exact selection in inventory.</x:t>
        </x:is>
      </x:c>
      <x:c r="F38" s="28" t="inlineStr">
        <x:is>
          <x:t xml:space="preserve">Must</x:t>
        </x:is>
      </x:c>
      <x:c r="G38" s="20" t="inlineStr">
        <x:is>
          <x:t xml:space="preserve">Partial</x:t>
        </x:is>
      </x:c>
      <x:c r="H38" s="28" t="inlineStr">
        <x:is>
          <x:t xml:space="preserve">Pilot engineering</x:t>
        </x:is>
      </x:c>
      <x:c r="I38" s="28" t="inlineStr">
        <x:is>
          <x:t xml:space="preserve">2026-10-13</x:t>
        </x:is>
      </x:c>
      <x:c r="J38" s="28" t="inlineStr">
        <x:is>
          <x:t xml:space="preserve">2476 passed / 0 failed / 17 reviewed skips; includes 28 exact adjacent cases. | C:\NIHILOBA\Backend\docs\evidence\restaurant_pilot_gate\results.json
2026-10-13 MGT01: Diagnostic: 2691 pass / 113 fail / 21 skip. All observed failures resolved by focused reruns (89 + 1 + 42 + 16 passing executions); zero unexpected skips. No new uninterrupted frozen-tree full run.</x:t>
        </x:is>
      </x:c>
    </x:row>
    <x:row r="39" ht="172" customHeight="1">
      <x:c r="A39" s="6" t="inlineStr">
        <x:is>
          <x:t xml:space="preserve">P03</x:t>
        </x:is>
      </x:c>
      <x:c r="B39" s="28" t="inlineStr">
        <x:is>
          <x:t xml:space="preserve">Backend</x:t>
        </x:is>
      </x:c>
      <x:c r="C39" s="28" t="inlineStr">
        <x:is>
          <x:t xml:space="preserve">PostgreSQL races, shared controls and migration runtime checks</x:t>
        </x:is>
      </x:c>
      <x:c r="D39" s="28" t="inlineStr">
        <x:is>
          <x:t xml:space="preserve">Required scoped check</x:t>
        </x:is>
      </x:c>
      <x:c r="E39" s="28" t="inlineStr">
        <x:is>
          <x:t xml:space="preserve">Current combined source; exact selection in inventory.</x:t>
        </x:is>
      </x:c>
      <x:c r="F39" s="28" t="inlineStr">
        <x:is>
          <x:t xml:space="preserve">Must</x:t>
        </x:is>
      </x:c>
      <x:c r="G39" s="20" t="inlineStr">
        <x:is>
          <x:t xml:space="preserve">Pass</x:t>
        </x:is>
      </x:c>
      <x:c r="H39" s="28" t="inlineStr">
        <x:is>
          <x:t xml:space="preserve">Pilot engineering</x:t>
        </x:is>
      </x:c>
      <x:c r="I39" s="28" t="inlineStr">
        <x:is>
          <x:t xml:space="preserve">2026-10-13</x:t>
        </x:is>
      </x:c>
      <x:c r="J39" s="28" t="inlineStr">
        <x:is>
          <x:t xml:space="preserve">462 passed / 0 failed or unexpected skips / 4 Organization-only skips; 14 named disposable groups. | C:\NIHILOBA\Backend\docs\evidence\restaurant_pilot_gate\results.json
2026-10-13 MGT01: PostgreSQL gate: 460 pass / 2 stale-head failures / 4 documented skips initially; affected assisted group rerun 15 pass, added photo races 4 pass. Distinct corrected coverage 466 pass / 4 expected skips; zero unexpected skips.</x:t>
        </x:is>
      </x:c>
    </x:row>
    <x:row r="40" ht="172" customHeight="1">
      <x:c r="A40" s="6" t="inlineStr">
        <x:is>
          <x:t xml:space="preserve">P04</x:t>
        </x:is>
      </x:c>
      <x:c r="B40" s="28" t="inlineStr">
        <x:is>
          <x:t xml:space="preserve">Backend</x:t>
        </x:is>
      </x:c>
      <x:c r="C40" s="28" t="inlineStr">
        <x:is>
          <x:t xml:space="preserve">Fresh migration upgrade, sole head and PostgreSQL offline DDL</x:t>
        </x:is>
      </x:c>
      <x:c r="D40" s="28" t="inlineStr">
        <x:is>
          <x:t xml:space="preserve">Required scoped check</x:t>
        </x:is>
      </x:c>
      <x:c r="E40" s="28" t="inlineStr">
        <x:is>
          <x:t xml:space="preserve">Current combined source; exact selection in inventory.</x:t>
        </x:is>
      </x:c>
      <x:c r="F40" s="28" t="inlineStr">
        <x:is>
          <x:t xml:space="preserve">Must</x:t>
        </x:is>
      </x:c>
      <x:c r="G40" s="20" t="inlineStr">
        <x:is>
          <x:t xml:space="preserve">Pass</x:t>
        </x:is>
      </x:c>
      <x:c r="H40" s="28" t="inlineStr">
        <x:is>
          <x:t xml:space="preserve">Pilot engineering</x:t>
        </x:is>
      </x:c>
      <x:c r="I40" s="28" t="inlineStr">
        <x:is>
          <x:t xml:space="preserve">2026-10-13</x:t>
        </x:is>
      </x:c>
      <x:c r="J40" s="28" t="inlineStr">
        <x:is>
          <x:t xml:space="preserve">Fresh upgrade to sole 0150; PostgreSQL 0149:0150 offline compilation and Restaurant round trips passed. fsync/full_page_writes/synchronous_commit=on. | C:\NIHILOBA\Backend\docs\evidence\restaurant_pilot_gate\results.json
2026-10-13 MGT01: Fresh disposable PostgreSQL upgrade to sole head 0152 and offline 0149:head DDL passed. Existing migration targets preserved; no migration introduced by MGT01.</x:t>
        </x:is>
      </x:c>
    </x:row>
    <x:row r="41" ht="110" customHeight="1">
      <x:c r="A41" s="6" t="inlineStr">
        <x:is>
          <x:t xml:space="preserve">P05</x:t>
        </x:is>
      </x:c>
      <x:c r="B41" s="28" t="inlineStr">
        <x:is>
          <x:t xml:space="preserve">Website</x:t>
        </x:is>
      </x:c>
      <x:c r="C41" s="28" t="inlineStr">
        <x:is>
          <x:t xml:space="preserve">Restaurant and necessary shared frontend unit tests</x:t>
        </x:is>
      </x:c>
      <x:c r="D41" s="28" t="inlineStr">
        <x:is>
          <x:t xml:space="preserve">Required scoped check</x:t>
        </x:is>
      </x:c>
      <x:c r="E41" s="28" t="inlineStr">
        <x:is>
          <x:t xml:space="preserve">Current combined source; exact selection in inventory.</x:t>
        </x:is>
      </x:c>
      <x:c r="F41" s="28" t="inlineStr">
        <x:is>
          <x:t xml:space="preserve">Must</x:t>
        </x:is>
      </x:c>
      <x:c r="G41" s="20" t="inlineStr">
        <x:is>
          <x:t xml:space="preserve">Pass</x:t>
        </x:is>
      </x:c>
      <x:c r="H41" s="28" t="inlineStr">
        <x:is>
          <x:t xml:space="preserve">Pilot engineering</x:t>
        </x:is>
      </x:c>
      <x:c r="I41" s="28" t="inlineStr">
        <x:is>
          <x:t xml:space="preserve">2026-10-13</x:t>
        </x:is>
      </x:c>
      <x:c r="J41" s="28" t="inlineStr">
        <x:is>
          <x:t xml:space="preserve">311 passed / 0 failed / 0 skipped. | C:\NIHILOBA\Backend\docs\evidence\restaurant_pilot_gate\results.json
2026-10-13 MGT01: Website scoped Restaurant/shared session/security unit tests: 353 passed, 34 files.</x:t>
        </x:is>
      </x:c>
    </x:row>
    <x:row r="42" ht="110" customHeight="1">
      <x:c r="A42" s="6" t="inlineStr">
        <x:is>
          <x:t xml:space="preserve">P06</x:t>
        </x:is>
      </x:c>
      <x:c r="B42" s="28" t="inlineStr">
        <x:is>
          <x:t xml:space="preserve">Business</x:t>
        </x:is>
      </x:c>
      <x:c r="C42" s="28" t="inlineStr">
        <x:is>
          <x:t xml:space="preserve">Restaurant and necessary shared frontend unit tests</x:t>
        </x:is>
      </x:c>
      <x:c r="D42" s="28" t="inlineStr">
        <x:is>
          <x:t xml:space="preserve">Required scoped check</x:t>
        </x:is>
      </x:c>
      <x:c r="E42" s="28" t="inlineStr">
        <x:is>
          <x:t xml:space="preserve">Current combined source; exact selection in inventory.</x:t>
        </x:is>
      </x:c>
      <x:c r="F42" s="28" t="inlineStr">
        <x:is>
          <x:t xml:space="preserve">Must</x:t>
        </x:is>
      </x:c>
      <x:c r="G42" s="20" t="inlineStr">
        <x:is>
          <x:t xml:space="preserve">Pass</x:t>
        </x:is>
      </x:c>
      <x:c r="H42" s="28" t="inlineStr">
        <x:is>
          <x:t xml:space="preserve">Pilot engineering</x:t>
        </x:is>
      </x:c>
      <x:c r="I42" s="28" t="inlineStr">
        <x:is>
          <x:t xml:space="preserve">2026-10-13</x:t>
        </x:is>
      </x:c>
      <x:c r="J42" s="28" t="inlineStr">
        <x:is>
          <x:t xml:space="preserve">350 passed / 0 failed / 0 skipped. | C:\NIHILOBA\Backend\docs\evidence\restaurant_pilot_gate\results.json
2026-10-13 MGT01: Business Restaurant/capability/auth tests: 297 passed, 25 files.</x:t>
        </x:is>
      </x:c>
    </x:row>
    <x:row r="43" ht="255" customHeight="1">
      <x:c r="A43" s="6" t="inlineStr">
        <x:is>
          <x:t xml:space="preserve">P07</x:t>
        </x:is>
      </x:c>
      <x:c r="B43" s="28" t="inlineStr">
        <x:is>
          <x:t xml:space="preserve">Website</x:t>
        </x:is>
      </x:c>
      <x:c r="C43" s="28" t="inlineStr">
        <x:is>
          <x:t xml:space="preserve">Complete Restaurant browser set with shared sign-in</x:t>
        </x:is>
      </x:c>
      <x:c r="D43" s="28" t="inlineStr">
        <x:is>
          <x:t xml:space="preserve">Required scoped check</x:t>
        </x:is>
      </x:c>
      <x:c r="E43" s="28" t="inlineStr">
        <x:is>
          <x:t xml:space="preserve">Current combined source; exact selection in inventory.</x:t>
        </x:is>
      </x:c>
      <x:c r="F43" s="28" t="inlineStr">
        <x:is>
          <x:t xml:space="preserve">Must</x:t>
        </x:is>
      </x:c>
      <x:c r="G43" s="20" t="inlineStr">
        <x:is>
          <x:t xml:space="preserve">Partial</x:t>
        </x:is>
      </x:c>
      <x:c r="H43" s="28" t="inlineStr">
        <x:is>
          <x:t xml:space="preserve">Pilot engineering</x:t>
        </x:is>
      </x:c>
      <x:c r="I43" s="28" t="inlineStr">
        <x:is>
          <x:t xml:space="preserve">2026-10-13</x:t>
        </x:is>
      </x:c>
      <x:c r="J43" s="28" t="str">
        <x:v>104 passed; zero skipped, unexpected or flaky required. | C:\NIHILOBA\Backend\docs\evidence\restaurant_pilot_gate\results.json
2026-10-13 MGT01: Final seller scope: 60 browser tests passed on production preview, all four locales. Complete public/guest fixture suite and staging shared sign-in are not claimed.
2026-10-13 workflow follow-up: Website production preview 36 management/seller browser checks and 4 new seeded workflow checks passed; complete pilot/public and staging checks remain outstanding.
2026-10-13 workflow verification: Website production build passed; 12/12 seeded workflow browser checks passed at 360/820/1440, including canonical counter quote, handover, bill, CDF receipt and finance totals. Complete public/guest and staged sign-in remain open.</x:v>
      </x:c>
    </x:row>
    <x:row r="44" ht="247.5" customHeight="1">
      <x:c r="A44" s="6" t="inlineStr">
        <x:is>
          <x:t xml:space="preserve">P08</x:t>
        </x:is>
      </x:c>
      <x:c r="B44" s="28" t="inlineStr">
        <x:is>
          <x:t xml:space="preserve">Business</x:t>
        </x:is>
      </x:c>
      <x:c r="C44" s="28" t="inlineStr">
        <x:is>
          <x:t xml:space="preserve">Complete Restaurant browser set with shared sign-in</x:t>
        </x:is>
      </x:c>
      <x:c r="D44" s="28" t="inlineStr">
        <x:is>
          <x:t xml:space="preserve">Required scoped check</x:t>
        </x:is>
      </x:c>
      <x:c r="E44" s="28" t="inlineStr">
        <x:is>
          <x:t xml:space="preserve">Current combined source; exact selection in inventory.</x:t>
        </x:is>
      </x:c>
      <x:c r="F44" s="28" t="inlineStr">
        <x:is>
          <x:t xml:space="preserve">Must</x:t>
        </x:is>
      </x:c>
      <x:c r="G44" s="20" t="inlineStr">
        <x:is>
          <x:t xml:space="preserve">Partial</x:t>
        </x:is>
      </x:c>
      <x:c r="H44" s="28" t="inlineStr">
        <x:is>
          <x:t xml:space="preserve">Pilot engineering</x:t>
        </x:is>
      </x:c>
      <x:c r="I44" s="28" t="inlineStr">
        <x:is>
          <x:t xml:space="preserve">2026-10-13</x:t>
        </x:is>
      </x:c>
      <x:c r="J44" s="28" t="str">
        <x:v>15 passed; zero skipped, unexpected or flaky required. | C:\NIHILOBA\Backend\docs\evidence\restaurant_pilot_gate\results.json
2026-10-13 MGT01: 3 new Business responsive/language checks passed at 360/820/1440. Legacy complete Business browser fixtures still need Orders-first navigation updates.
2026-10-13 workflow follow-up: Business local build, typecheck, 40 focused unit tests and 3 responsive management browser checks passed; full Business Restaurant gate remains outstanding.
2026-10-13 workflow verification: Business production build and 3/3 responsive management browser checks passed; 40 focused unit tests passed. Complete Business Restaurant browser scope remains open.</x:v>
      </x:c>
    </x:row>
    <x:row r="45" ht="124" customHeight="1">
      <x:c r="A45" s="6" t="inlineStr">
        <x:is>
          <x:t xml:space="preserve">P09</x:t>
        </x:is>
      </x:c>
      <x:c r="B45" s="28" t="inlineStr">
        <x:is>
          <x:t xml:space="preserve">Website + Business</x:t>
        </x:is>
      </x:c>
      <x:c r="C45" s="28" t="inlineStr">
        <x:is>
          <x:t xml:space="preserve">typecheck</x:t>
        </x:is>
      </x:c>
      <x:c r="D45" s="28" t="inlineStr">
        <x:is>
          <x:t xml:space="preserve">Required scoped check</x:t>
        </x:is>
      </x:c>
      <x:c r="E45" s="28" t="inlineStr">
        <x:is>
          <x:t xml:space="preserve">Current combined source; exact selection in inventory.</x:t>
        </x:is>
      </x:c>
      <x:c r="F45" s="28" t="inlineStr">
        <x:is>
          <x:t xml:space="preserve">Must</x:t>
        </x:is>
      </x:c>
      <x:c r="G45" s="20" t="inlineStr">
        <x:is>
          <x:t xml:space="preserve">Pass</x:t>
        </x:is>
      </x:c>
      <x:c r="H45" s="28" t="inlineStr">
        <x:is>
          <x:t xml:space="preserve">Pilot engineering</x:t>
        </x:is>
      </x:c>
      <x:c r="I45" s="28" t="inlineStr">
        <x:is>
          <x:t xml:space="preserve">2026-10-13</x:t>
        </x:is>
      </x:c>
      <x:c r="J45" s="28" t="inlineStr">
        <x:is>
          <x:t xml:space="preserve">All recorded commands exit 0; see exact commands/logs in typecheck-final4. | C:\NIHILOBA\Backend\docs\evidence\restaurant_pilot_gate\results.json
2026-10-13 MGT01: Both production builds passed including TypeScript. Generated Business next-env path churn restored.</x:t>
        </x:is>
      </x:c>
    </x:row>
    <x:row r="46" ht="124" customHeight="1">
      <x:c r="A46" s="6" t="inlineStr">
        <x:is>
          <x:t xml:space="preserve">P10</x:t>
        </x:is>
      </x:c>
      <x:c r="B46" s="28" t="inlineStr">
        <x:is>
          <x:t xml:space="preserve">Website + Business</x:t>
        </x:is>
      </x:c>
      <x:c r="C46" s="28" t="inlineStr">
        <x:is>
          <x:t xml:space="preserve">lint</x:t>
        </x:is>
      </x:c>
      <x:c r="D46" s="28" t="inlineStr">
        <x:is>
          <x:t xml:space="preserve">Required scoped check</x:t>
        </x:is>
      </x:c>
      <x:c r="E46" s="28" t="inlineStr">
        <x:is>
          <x:t xml:space="preserve">Current combined source; exact selection in inventory.</x:t>
        </x:is>
      </x:c>
      <x:c r="F46" s="28" t="inlineStr">
        <x:is>
          <x:t xml:space="preserve">Must</x:t>
        </x:is>
      </x:c>
      <x:c r="G46" s="20" t="inlineStr">
        <x:is>
          <x:t xml:space="preserve">Partial</x:t>
        </x:is>
      </x:c>
      <x:c r="H46" s="28" t="inlineStr">
        <x:is>
          <x:t xml:space="preserve">Pilot engineering</x:t>
        </x:is>
      </x:c>
      <x:c r="I46" s="28" t="inlineStr">
        <x:is>
          <x:t xml:space="preserve">2026-10-13</x:t>
        </x:is>
      </x:c>
      <x:c r="J46" s="28" t="inlineStr">
        <x:is>
          <x:t xml:space="preserve">All recorded commands exit 0; see exact commands/logs in lint-final5. | C:\NIHILOBA\Backend\docs\evidence\restaurant_pilot_gate\results.json
2026-10-13 MGT01: All modified frontend implementation and new management tests lint clean. Whole-repository lint was not rerun.</x:t>
        </x:is>
      </x:c>
    </x:row>
    <x:row r="47" ht="140" customHeight="1">
      <x:c r="A47" s="6" t="inlineStr">
        <x:is>
          <x:t xml:space="preserve">P11</x:t>
        </x:is>
      </x:c>
      <x:c r="B47" s="28" t="inlineStr">
        <x:is>
          <x:t xml:space="preserve">All three</x:t>
        </x:is>
      </x:c>
      <x:c r="C47" s="28" t="inlineStr">
        <x:is>
          <x:t xml:space="preserve">static</x:t>
        </x:is>
      </x:c>
      <x:c r="D47" s="28" t="inlineStr">
        <x:is>
          <x:t xml:space="preserve">Required scoped check</x:t>
        </x:is>
      </x:c>
      <x:c r="E47" s="28" t="inlineStr">
        <x:is>
          <x:t xml:space="preserve">Current combined source; exact selection in inventory.</x:t>
        </x:is>
      </x:c>
      <x:c r="F47" s="28" t="inlineStr">
        <x:is>
          <x:t xml:space="preserve">Must</x:t>
        </x:is>
      </x:c>
      <x:c r="G47" s="20" t="inlineStr">
        <x:is>
          <x:t xml:space="preserve">Partial</x:t>
        </x:is>
      </x:c>
      <x:c r="H47" s="28" t="inlineStr">
        <x:is>
          <x:t xml:space="preserve">Pilot engineering</x:t>
        </x:is>
      </x:c>
      <x:c r="I47" s="28" t="inlineStr">
        <x:is>
          <x:t xml:space="preserve">2026-10-13</x:t>
        </x:is>
      </x:c>
      <x:c r="J47" s="28" t="inlineStr">
        <x:is>
          <x:t xml:space="preserve">All recorded commands exit 0; see exact commands/logs in static-final3. | C:\NIHILOBA\Backend\docs\evidence\restaurant_pilot_gate\results.json
2026-10-13 MGT01: Changed Python syntax and all repository diff checks passed; exact skip manifests checked. Full platform static suite not rerun.</x:t>
        </x:is>
      </x:c>
    </x:row>
    <x:row r="48" ht="124" customHeight="1">
      <x:c r="A48" s="6" t="inlineStr">
        <x:is>
          <x:t xml:space="preserve">P12</x:t>
        </x:is>
      </x:c>
      <x:c r="B48" s="28" t="inlineStr">
        <x:is>
          <x:t xml:space="preserve">Website + Business</x:t>
        </x:is>
      </x:c>
      <x:c r="C48" s="28" t="inlineStr">
        <x:is>
          <x:t xml:space="preserve">Production builds</x:t>
        </x:is>
      </x:c>
      <x:c r="D48" s="28" t="inlineStr">
        <x:is>
          <x:t xml:space="preserve">Required scoped check</x:t>
        </x:is>
      </x:c>
      <x:c r="E48" s="28" t="inlineStr">
        <x:is>
          <x:t xml:space="preserve">Current combined source; exact selection in inventory.</x:t>
        </x:is>
      </x:c>
      <x:c r="F48" s="28" t="inlineStr">
        <x:is>
          <x:t xml:space="preserve">Must</x:t>
        </x:is>
      </x:c>
      <x:c r="G48" s="20" t="inlineStr">
        <x:is>
          <x:t xml:space="preserve">Pass</x:t>
        </x:is>
      </x:c>
      <x:c r="H48" s="28" t="inlineStr">
        <x:is>
          <x:t xml:space="preserve">Pilot engineering</x:t>
        </x:is>
      </x:c>
      <x:c r="I48" s="28" t="inlineStr">
        <x:is>
          <x:t xml:space="preserve">2026-10-13</x:t>
        </x:is>
      </x:c>
      <x:c r="J48" s="28" t="inlineStr">
        <x:is>
          <x:t xml:space="preserve">Both Next production builds exited 0. App, dependency and build configuration sources remain unchanged throughout fixture fixes. | C:\NIHILOBA\Backend\docs\evidence\restaurant_pilot_gate\results.json
2026-10-13 MGT01: Website and Business production webpack builds passed locally.</x:t>
        </x:is>
      </x:c>
    </x:row>
    <x:row r="49" ht="405" customHeight="1">
      <x:c r="A49" s="6" t="inlineStr">
        <x:is>
          <x:t xml:space="preserve">MGT01</x:t>
        </x:is>
      </x:c>
      <x:c r="B49" s="28" t="inlineStr">
        <x:is>
          <x:t xml:space="preserve">Website / Backend / Business</x:t>
        </x:is>
      </x:c>
      <x:c r="C49" s="28" t="inlineStr">
        <x:is>
          <x:t xml:space="preserve">Restaurant seller management and temporary pre-purchase access</x:t>
        </x:is>
      </x:c>
      <x:c r="D49" s="28" t="inlineStr">
        <x:is>
          <x:t xml:space="preserve">Responsive authenticated workspace; exact ownership, grants, intake and existing obligations preserved</x:t>
        </x:is>
      </x:c>
      <x:c r="E49" s="28" t="inlineStr">
        <x:is>
          <x:t xml:space="preserve">2026-10-13 local working trees; no deploy, commit or push</x:t>
        </x:is>
      </x:c>
      <x:c r="F49" s="28" t="inlineStr">
        <x:is>
          <x:t xml:space="preserve">Must</x:t>
        </x:is>
      </x:c>
      <x:c r="G49" s="20" t="inlineStr">
        <x:is>
          <x:t xml:space="preserve">Partial</x:t>
        </x:is>
      </x:c>
      <x:c r="H49" s="28" t="inlineStr">
        <x:is>
          <x:t xml:space="preserve">Restaurant engineering</x:t>
        </x:is>
      </x:c>
      <x:c r="I49" s="28" t="inlineStr">
        <x:is>
          <x:t xml:space="preserve">2026-10-13</x:t>
        </x:is>
      </x:c>
      <x:c r="J49" s="28" t="str">
        <x:v>Website docs/restaurants-management-2026-10-13.md: responsive screenshots and scoped checks. Staging/physical-device acceptance and complete pilot rerun remain required.
2026-10-13 MGT01: Implemented and scoped validation complete; 60 Personal + 3 Business browser checks, 353 + 297 unit tests, 185 Backend policy checks, 90 focused PostgreSQL checks. Pilot diagnostic failures resolved by focused reruns. See Website docs/restaurants-management-2026-10-13.md for all evidence and remaining final-tree/browser/staging gates.
2026-10-13 seller workflow follow-up: Website and Business local task navigation/copy, Orders, statistics, counter basket and reservation fixes; Website production browser 36 existing + 4 new seeded cases passed at 360/820/1440, 138 scoped units; Business 3 responsive browser checks and 40 focused units passed. Counter payment method and establishment-wide finance aggregation require canonical Backend contracts. Live capability response, human FR/LN/SW review, physical devices and staging remain open. No deploy/commit/push. Website/docs/restaurants-management-2026-10-13.md
2026-10-13 workflow verification: Local Website, Backend and Business seller workflow correction. Counter handover now links one canonical closed bill; existing payment methods, receipt, replay, stock and money ledger apply. Daily report now separates linked order value, recorded collections, outstanding, expenses and cash variance by CDF/USD. Disposable PostgreSQL gate: 466 passed, four documented skips before final contract additions; focused post-change SQLite tests pass; six targeted PostgreSQL cases pass. Authenticated deployed capability is unverified (HTTP 401 without session). Broad SQLite diagnostic: 2,809 pass, 21 documented skips, one stale test fixed and exact-rerun passed. Final-tree full rerun, human FR/LN/SW review, physical devices and staging remain open. No deploy, commit or push.</x:v>
      </x:c>
    </x:row>
  </x:sheetData>
  <x:conditionalFormatting sqref="G6:G36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1">
    <x:dataValidation type="list" allowBlank="0" showDropDown="0" showInputMessage="0" showErrorMessage="0" sqref="G6:G36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caa76a57074680"/>
  </x:tableParts>
</x:worksheet>
</file>

<file path=xl/worksheets/sheet4.xml><?xml version="1.0" encoding="utf-8"?>
<x:worksheet xmlns:x="http://schemas.openxmlformats.org/spreadsheetml/2006/main">
  <x:sheetPr>
    <x:tabColor rgb="FFD19A32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62" customWidth="1"/>
    <x:col min="3" max="3" width="60" customWidth="1"/>
    <x:col min="4" max="4" width="12" customWidth="1"/>
    <x:col min="5" max="5" width="18" customWidth="1"/>
    <x:col min="6" max="6" width="20" customWidth="1"/>
    <x:col min="7" max="7" width="17" customWidth="1"/>
    <x:col min="8" max="8" width="55" customWidth="1"/>
  </x:cols>
  <x:sheetData>
    <x:row r="2">
      <x:c r="A2" s="2" t="inlineStr">
        <x:is>
          <x:t xml:space="preserve">Launch steps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3" t="inlineStr">
        <x:is>
          <x:t xml:space="preserve">Ordered release work. A Pass needs evidence; this sheet does not itself authorize production release.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Step</x:t>
        </x:is>
      </x:c>
      <x:c r="C5" s="5" t="inlineStr">
        <x:is>
          <x:t xml:space="preserve">Completion evidence</x:t>
        </x:is>
      </x:c>
      <x:c r="D5" s="5" t="inlineStr">
        <x:is>
          <x:t xml:space="preserve">Priority</x:t>
        </x:is>
      </x:c>
      <x:c r="E5" s="5" t="inlineStr">
        <x:is>
          <x:t xml:space="preserve">Status</x:t>
        </x:is>
      </x:c>
      <x:c r="F5" s="5" t="inlineStr">
        <x:is>
          <x:t xml:space="preserve">Owner</x:t>
        </x:is>
      </x:c>
      <x:c r="G5" s="5" t="inlineStr">
        <x:is>
          <x:t xml:space="preserve">Date</x:t>
        </x:is>
      </x:c>
      <x:c r="H5" s="5" t="inlineStr">
        <x:is>
          <x:t xml:space="preserve">Evidence / issue</x:t>
        </x:is>
      </x:c>
    </x:row>
    <x:row r="6" ht="42" customHeight="1">
      <x:c r="A6" s="6" t="inlineStr">
        <x:is>
          <x:t xml:space="preserve">L01</x:t>
        </x:is>
      </x:c>
      <x:c r="B6" s="28" t="inlineStr">
        <x:is>
          <x:t xml:space="preserve">Freeze a reviewable release commit for all three repositories.</x:t>
        </x:is>
      </x:c>
      <x:c r="C6" s="28" t="inlineStr">
        <x:is>
          <x:t xml:space="preserve">Commit IDs and migration head recorded.</x:t>
        </x:is>
      </x:c>
      <x:c r="D6" s="28" t="inlineStr">
        <x:is>
          <x:t xml:space="preserve">Must</x:t>
        </x:is>
      </x:c>
      <x:c r="E6" s="28" t="inlineStr">
        <x:is>
          <x:t xml:space="preserve">Not run</x:t>
        </x:is>
      </x:c>
      <x:c r="F6" s="28" t="inlineStr">
        <x:is>
          <x:t xml:space="preserve">SHIDA release lead</x:t>
        </x:is>
      </x:c>
      <x:c r="G6" s="28" t="inlineStr">
        <x:is>
          <x:t xml:space="preserve"/>
        </x:is>
      </x:c>
      <x:c r="H6" s="28" t="inlineStr">
        <x:is>
          <x:t xml:space="preserve">Local uncommitted revisions under review; complete Backend suite is red.</x:t>
        </x:is>
      </x:c>
    </x:row>
    <x:row r="7" ht="42" customHeight="1">
      <x:c r="A7" s="6" t="inlineStr">
        <x:is>
          <x:t xml:space="preserve">L02</x:t>
        </x:is>
      </x:c>
      <x:c r="B7" s="28" t="inlineStr">
        <x:is>
          <x:t xml:space="preserve">Resolve or explicitly triage final Backend, Website and Business suite failures.</x:t>
        </x:is>
      </x:c>
      <x:c r="C7" s="28" t="inlineStr">
        <x:is>
          <x:t xml:space="preserve">No unexplained regression or unowned blocker.</x:t>
        </x:is>
      </x:c>
      <x:c r="D7" s="28" t="inlineStr">
        <x:is>
          <x:t xml:space="preserve">Must</x:t>
        </x:is>
      </x:c>
      <x:c r="E7" s="28" t="inlineStr">
        <x:is>
          <x:t xml:space="preserve">Not run</x:t>
        </x:is>
      </x:c>
      <x:c r="F7" s="28" t="inlineStr">
        <x:is>
          <x:t xml:space="preserve">SHIDA release lead</x:t>
        </x:is>
      </x:c>
      <x:c r="G7" s="28" t="inlineStr">
        <x:is>
          <x:t xml:space="preserve"/>
        </x:is>
      </x:c>
      <x:c r="H7" s="28" t="inlineStr">
        <x:is>
          <x:t xml:space="preserve">Local uncommitted revisions under review; complete Backend suite is red.</x:t>
        </x:is>
      </x:c>
    </x:row>
    <x:row r="8" ht="42" customHeight="1">
      <x:c r="A8" s="6" t="inlineStr">
        <x:is>
          <x:t xml:space="preserve">L03</x:t>
        </x:is>
      </x:c>
      <x:c r="B8" s="28" t="inlineStr">
        <x:is>
          <x:t xml:space="preserve">Apply 0147→0148→0149 in staging with representative populated PostgreSQL data.</x:t>
        </x:is>
      </x:c>
      <x:c r="C8" s="28" t="inlineStr">
        <x:is>
          <x:t xml:space="preserve">Migration and rollback/preservation plan reviewed.</x:t>
        </x:is>
      </x:c>
      <x:c r="D8" s="28" t="inlineStr">
        <x:is>
          <x:t xml:space="preserve">Must</x:t>
        </x:is>
      </x:c>
      <x:c r="E8" s="28" t="inlineStr">
        <x:is>
          <x:t xml:space="preserve">Not run</x:t>
        </x:is>
      </x:c>
      <x:c r="F8" s="28" t="inlineStr">
        <x:is>
          <x:t xml:space="preserve">Database / Backend release engineer</x:t>
        </x:is>
      </x:c>
      <x:c r="G8" s="28" t="inlineStr">
        <x:is>
          <x:t xml:space="preserve"/>
        </x:is>
      </x:c>
      <x:c r="H8" s="28" t="inlineStr">
        <x:is>
          <x:t xml:space="preserve">Disposable 0147→0148→0149 rehearsal passed; staging and deployment untouched.</x:t>
        </x:is>
      </x:c>
    </x:row>
    <x:row r="9" ht="42" customHeight="1">
      <x:c r="A9" s="6" t="inlineStr">
        <x:is>
          <x:t xml:space="preserve">L04</x:t>
        </x:is>
      </x:c>
      <x:c r="B9" s="28" t="inlineStr">
        <x:is>
          <x:t xml:space="preserve">Upgrade every Backend API and maintenance instance.</x:t>
        </x:is>
      </x:c>
      <x:c r="C9" s="28" t="inlineStr">
        <x:is>
          <x:t xml:space="preserve">All instances use guest/table/reservation-aware code before intake.</x:t>
        </x:is>
      </x:c>
      <x:c r="D9" s="28" t="inlineStr">
        <x:is>
          <x:t xml:space="preserve">Must</x:t>
        </x:is>
      </x:c>
      <x:c r="E9" s="28" t="inlineStr">
        <x:is>
          <x:t xml:space="preserve">Not run</x:t>
        </x:is>
      </x:c>
      <x:c r="F9" s="28" t="inlineStr">
        <x:is>
          <x:t xml:space="preserve">Database / Backend release engineer</x:t>
        </x:is>
      </x:c>
      <x:c r="G9" s="28" t="inlineStr">
        <x:is>
          <x:t xml:space="preserve"/>
        </x:is>
      </x:c>
      <x:c r="H9" s="28" t="inlineStr">
        <x:is>
          <x:t xml:space="preserve">Disposable 0147→0148→0149 rehearsal passed; staging and deployment untouched.</x:t>
        </x:is>
      </x:c>
    </x:row>
    <x:row r="10" ht="42" customHeight="1">
      <x:c r="A10" s="6" t="inlineStr">
        <x:is>
          <x:t xml:space="preserve">L05</x:t>
        </x:is>
      </x:c>
      <x:c r="B10" s="28" t="inlineStr">
        <x:is>
          <x:t xml:space="preserve">Release compatible Website and Business assets together.</x:t>
        </x:is>
      </x:c>
      <x:c r="C10" s="28" t="inlineStr">
        <x:is>
          <x:t xml:space="preserve">No mismatched contract between UI and Backend.</x:t>
        </x:is>
      </x:c>
      <x:c r="D10" s="28" t="inlineStr">
        <x:is>
          <x:t xml:space="preserve">Must</x:t>
        </x:is>
      </x:c>
      <x:c r="E10" s="28" t="inlineStr">
        <x:is>
          <x:t xml:space="preserve">Not run</x:t>
        </x:is>
      </x:c>
      <x:c r="F10" s="28" t="inlineStr">
        <x:is>
          <x:t xml:space="preserve">Website + Business release engineer</x:t>
        </x:is>
      </x:c>
      <x:c r="G10" s="28" t="inlineStr">
        <x:is>
          <x:t xml:space="preserve"/>
        </x:is>
      </x:c>
      <x:c r="H10" s="28" t="inlineStr">
        <x:is>
          <x:t xml:space="preserve">Not run; live release step requires approval and observed evidence.</x:t>
        </x:is>
      </x:c>
    </x:row>
    <x:row r="11" ht="42" customHeight="1">
      <x:c r="A11" s="6" t="inlineStr">
        <x:is>
          <x:t xml:space="preserve">L06</x:t>
        </x:is>
      </x:c>
      <x:c r="B11" s="28" t="inlineStr">
        <x:is>
          <x:t xml:space="preserve">Confirm Restaurant hours, menu, stock, staff grants and owner access.</x:t>
        </x:is>
      </x:c>
      <x:c r="C11" s="28" t="inlineStr">
        <x:is>
          <x:t xml:space="preserve">Pilot establishment setup signed off.</x:t>
        </x:is>
      </x:c>
      <x:c r="D11" s="28" t="inlineStr">
        <x:is>
          <x:t xml:space="preserve">Must</x:t>
        </x:is>
      </x:c>
      <x:c r="E11" s="28" t="inlineStr">
        <x:is>
          <x:t xml:space="preserve">Not run</x:t>
        </x:is>
      </x:c>
      <x:c r="F11" s="28" t="inlineStr">
        <x:is>
          <x:t xml:space="preserve">Pilot restaurant owner + SHIDA QA</x:t>
        </x:is>
      </x:c>
      <x:c r="G11" s="28" t="inlineStr">
        <x:is>
          <x:t xml:space="preserve"/>
        </x:is>
      </x:c>
      <x:c r="H11" s="28" t="inlineStr">
        <x:is>
          <x:t xml:space="preserve">Not run; live release step requires approval and observed evidence.</x:t>
        </x:is>
      </x:c>
    </x:row>
    <x:row r="12" ht="42" customHeight="1">
      <x:c r="A12" s="6" t="inlineStr">
        <x:is>
          <x:t xml:space="preserve">L07</x:t>
        </x:is>
      </x:c>
      <x:c r="B12" s="28" t="inlineStr">
        <x:is>
          <x:t xml:space="preserve">Print and place general QR; optionally print fixed-table QRs.</x:t>
        </x:is>
      </x:c>
      <x:c r="C12" s="28" t="inlineStr">
        <x:is>
          <x:t xml:space="preserve">Physical scan points and rotation plan verified.</x:t>
        </x:is>
      </x:c>
      <x:c r="D12" s="28" t="inlineStr">
        <x:is>
          <x:t xml:space="preserve">Must</x:t>
        </x:is>
      </x:c>
      <x:c r="E12" s="28" t="inlineStr">
        <x:is>
          <x:t xml:space="preserve">Not run</x:t>
        </x:is>
      </x:c>
      <x:c r="F12" s="28" t="inlineStr">
        <x:is>
          <x:t xml:space="preserve">Pilot restaurant owner + SHIDA QA</x:t>
        </x:is>
      </x:c>
      <x:c r="G12" s="28" t="inlineStr">
        <x:is>
          <x:t xml:space="preserve"/>
        </x:is>
      </x:c>
      <x:c r="H12" s="28" t="inlineStr">
        <x:is>
          <x:t xml:space="preserve">Not run; live release step requires approval and observed evidence.</x:t>
        </x:is>
      </x:c>
    </x:row>
    <x:row r="13" ht="42" customHeight="1">
      <x:c r="A13" s="6" t="inlineStr">
        <x:is>
          <x:t xml:space="preserve">L08</x:t>
        </x:is>
      </x:c>
      <x:c r="B13" s="28" t="inlineStr">
        <x:is>
          <x:t xml:space="preserve">Decide QR auto-accept setting and test shortage behavior.</x:t>
        </x:is>
      </x:c>
      <x:c r="C13" s="28" t="inlineStr">
        <x:is>
          <x:t xml:space="preserve">Owner knows default is off and when manual decision is needed.</x:t>
        </x:is>
      </x:c>
      <x:c r="D13" s="28" t="inlineStr">
        <x:is>
          <x:t xml:space="preserve">Must</x:t>
        </x:is>
      </x:c>
      <x:c r="E13" s="28" t="inlineStr">
        <x:is>
          <x:t xml:space="preserve">Not run</x:t>
        </x:is>
      </x:c>
      <x:c r="F13" s="28" t="inlineStr">
        <x:is>
          <x:t xml:space="preserve">Pilot restaurant owner + SHIDA QA</x:t>
        </x:is>
      </x:c>
      <x:c r="G13" s="28" t="inlineStr">
        <x:is>
          <x:t xml:space="preserve"/>
        </x:is>
      </x:c>
      <x:c r="H13" s="28" t="inlineStr">
        <x:is>
          <x:t xml:space="preserve">Not run; live release step requires approval and observed evidence.</x:t>
        </x:is>
      </x:c>
    </x:row>
    <x:row r="14" ht="42" customHeight="1">
      <x:c r="A14" s="6" t="inlineStr">
        <x:is>
          <x:t xml:space="preserve">L09</x:t>
        </x:is>
      </x:c>
      <x:c r="B14" s="28" t="inlineStr">
        <x:is>
          <x:t xml:space="preserve">Run real-phone and live WhatsApp journeys in four languages.</x:t>
        </x:is>
      </x:c>
      <x:c r="C14" s="28" t="inlineStr">
        <x:is>
          <x:t xml:space="preserve">Customer, seller and staff wording approved.</x:t>
        </x:is>
      </x:c>
      <x:c r="D14" s="28" t="inlineStr">
        <x:is>
          <x:t xml:space="preserve">Must</x:t>
        </x:is>
      </x:c>
      <x:c r="E14" s="28" t="inlineStr">
        <x:is>
          <x:t xml:space="preserve">Not run</x:t>
        </x:is>
      </x:c>
      <x:c r="F14" s="28" t="inlineStr">
        <x:is>
          <x:t xml:space="preserve">Meta operations + language reviewers</x:t>
        </x:is>
      </x:c>
      <x:c r="G14" s="28" t="inlineStr">
        <x:is>
          <x:t xml:space="preserve"/>
        </x:is>
      </x:c>
      <x:c r="H14" s="28" t="inlineStr">
        <x:is>
          <x:t xml:space="preserve">Not run; live release step requires approval and observed evidence.</x:t>
        </x:is>
      </x:c>
    </x:row>
    <x:row r="15" ht="42" customHeight="1">
      <x:c r="A15" s="6" t="inlineStr">
        <x:is>
          <x:t xml:space="preserve">L10</x:t>
        </x:is>
      </x:c>
      <x:c r="B15" s="28" t="inlineStr">
        <x:is>
          <x:t xml:space="preserve">Complete one observed opening-to-close pilot day.</x:t>
        </x:is>
      </x:c>
      <x:c r="C15" s="28" t="inlineStr">
        <x:is>
          <x:t xml:space="preserve">Physical food/stock/money/report comparison recorded.</x:t>
        </x:is>
      </x:c>
      <x:c r="D15" s="28" t="inlineStr">
        <x:is>
          <x:t xml:space="preserve">Must</x:t>
        </x:is>
      </x:c>
      <x:c r="E15" s="28" t="inlineStr">
        <x:is>
          <x:t xml:space="preserve">Not run</x:t>
        </x:is>
      </x:c>
      <x:c r="F15" s="28" t="inlineStr">
        <x:is>
          <x:t xml:space="preserve">Pilot restaurant owner + SHIDA QA</x:t>
        </x:is>
      </x:c>
      <x:c r="G15" s="28" t="inlineStr">
        <x:is>
          <x:t xml:space="preserve"/>
        </x:is>
      </x:c>
      <x:c r="H15" s="28" t="inlineStr">
        <x:is>
          <x:t xml:space="preserve">Not run; live release step requires approval and observed evidence.</x:t>
        </x:is>
      </x:c>
    </x:row>
    <x:row r="16" ht="42" customHeight="1">
      <x:c r="A16" s="6" t="inlineStr">
        <x:is>
          <x:t xml:space="preserve">L11</x:t>
        </x:is>
      </x:c>
      <x:c r="B16" s="28" t="inlineStr">
        <x:is>
          <x:t xml:space="preserve">Review TLS/Origin, rate limits, privacy, retention and maintenance.</x:t>
        </x:is>
      </x:c>
      <x:c r="C16" s="28" t="inlineStr">
        <x:is>
          <x:t xml:space="preserve">Security and operations checks have evidence.</x:t>
        </x:is>
      </x:c>
      <x:c r="D16" s="28" t="inlineStr">
        <x:is>
          <x:t xml:space="preserve">Must</x:t>
        </x:is>
      </x:c>
      <x:c r="E16" s="28" t="inlineStr">
        <x:is>
          <x:t xml:space="preserve">Not run</x:t>
        </x:is>
      </x:c>
      <x:c r="F16" s="28" t="inlineStr">
        <x:is>
          <x:t xml:space="preserve">Infrastructure + security + database owners</x:t>
        </x:is>
      </x:c>
      <x:c r="G16" s="28" t="inlineStr">
        <x:is>
          <x:t xml:space="preserve"/>
        </x:is>
      </x:c>
      <x:c r="H16" s="28" t="inlineStr">
        <x:is>
          <x:t xml:space="preserve">Local proxy/TLS and maintenance probes passed; deployed acceptance outstanding.</x:t>
        </x:is>
      </x:c>
    </x:row>
    <x:row r="17" ht="42" customHeight="1">
      <x:c r="A17" s="6" t="inlineStr">
        <x:is>
          <x:t xml:space="preserve">L12</x:t>
        </x:is>
      </x:c>
      <x:c r="B17" s="28" t="inlineStr">
        <x:is>
          <x:t xml:space="preserve">Train supporters with bilingual guide and log wording issues.</x:t>
        </x:is>
      </x:c>
      <x:c r="C17" s="28" t="inlineStr">
        <x:is>
          <x:t xml:space="preserve">Supporters can answer common questions and route incidents.</x:t>
        </x:is>
      </x:c>
      <x:c r="D17" s="28" t="inlineStr">
        <x:is>
          <x:t xml:space="preserve">Must</x:t>
        </x:is>
      </x:c>
      <x:c r="E17" s="28" t="inlineStr">
        <x:is>
          <x:t xml:space="preserve">Not run</x:t>
        </x:is>
      </x:c>
      <x:c r="F17" s="28" t="inlineStr">
        <x:is>
          <x:t xml:space="preserve">Support lead</x:t>
        </x:is>
      </x:c>
      <x:c r="G17" s="28" t="inlineStr">
        <x:is>
          <x:t xml:space="preserve"/>
        </x:is>
      </x:c>
      <x:c r="H17" s="28" t="inlineStr">
        <x:is>
          <x:t xml:space="preserve">Staged EN/FR edit awaits every-page render; original guide unchanged.</x:t>
        </x:is>
      </x:c>
    </x:row>
    <x:row r="18" ht="42" customHeight="1">
      <x:c r="A18" s="6" t="inlineStr">
        <x:is>
          <x:t xml:space="preserve">L13</x:t>
        </x:is>
      </x:c>
      <x:c r="B18" s="28" t="inlineStr">
        <x:is>
          <x:t xml:space="preserve">Record founder release decision and remaining accepted limitations.</x:t>
        </x:is>
      </x:c>
      <x:c r="C18" s="28" t="inlineStr">
        <x:is>
          <x:t xml:space="preserve">Explicit human approval after mandatory evidence.</x:t>
        </x:is>
      </x:c>
      <x:c r="D18" s="28" t="inlineStr">
        <x:is>
          <x:t xml:space="preserve">Must</x:t>
        </x:is>
      </x:c>
      <x:c r="E18" s="28" t="inlineStr">
        <x:is>
          <x:t xml:space="preserve">Not run</x:t>
        </x:is>
      </x:c>
      <x:c r="F18" s="28" t="inlineStr">
        <x:is>
          <x:t xml:space="preserve">Founder / release lead</x:t>
        </x:is>
      </x:c>
      <x:c r="G18" s="28" t="inlineStr">
        <x:is>
          <x:t xml:space="preserve"/>
        </x:is>
      </x:c>
      <x:c r="H18" s="28" t="inlineStr">
        <x:is>
          <x:t xml:space="preserve">Pilot blocked; no production intake change or deployment authorized.</x:t>
        </x:is>
      </x:c>
    </x:row>
    <x:row r="19" ht="42" customHeight="1">
      <x:c r="A19" s="6" t="inlineStr">
        <x:is>
          <x:t xml:space="preserve">L14</x:t>
        </x:is>
      </x:c>
      <x:c r="B19" s="28" t="inlineStr">
        <x:is>
          <x:t xml:space="preserve">Enable intended production intake and monitor first pilot.</x:t>
        </x:is>
      </x:c>
      <x:c r="C19" s="28" t="inlineStr">
        <x:is>
          <x:t xml:space="preserve">Rollout and monitoring owners present.</x:t>
        </x:is>
      </x:c>
      <x:c r="D19" s="28" t="inlineStr">
        <x:is>
          <x:t xml:space="preserve">Must</x:t>
        </x:is>
      </x:c>
      <x:c r="E19" s="28" t="inlineStr">
        <x:is>
          <x:t xml:space="preserve">Not run</x:t>
        </x:is>
      </x:c>
      <x:c r="F19" s="28" t="inlineStr">
        <x:is>
          <x:t xml:space="preserve">Founder / release lead</x:t>
        </x:is>
      </x:c>
      <x:c r="G19" s="28" t="inlineStr">
        <x:is>
          <x:t xml:space="preserve"/>
        </x:is>
      </x:c>
      <x:c r="H19" s="28" t="inlineStr">
        <x:is>
          <x:t xml:space="preserve">Pilot blocked; no production intake change or deployment authorized.</x:t>
        </x:is>
      </x:c>
    </x:row>
    <x:row r="20" ht="42" customHeight="1">
      <x:c r="A20" s="6" t="inlineStr">
        <x:is>
          <x:t xml:space="preserve">L15</x:t>
        </x:is>
      </x:c>
      <x:c r="B20" s="28" t="inlineStr">
        <x:is>
          <x:t xml:space="preserve">Review first-day incidents, reconcile figures and update tracker.</x:t>
        </x:is>
      </x:c>
      <x:c r="C20" s="28" t="inlineStr">
        <x:is>
          <x:t xml:space="preserve">Follow-up owner and decision for each issue.</x:t>
        </x:is>
      </x:c>
      <x:c r="D20" s="28" t="inlineStr">
        <x:is>
          <x:t xml:space="preserve">Must</x:t>
        </x:is>
      </x:c>
      <x:c r="E20" s="28" t="inlineStr">
        <x:is>
          <x:t xml:space="preserve">Not run</x:t>
        </x:is>
      </x:c>
      <x:c r="F20" s="28" t="inlineStr">
        <x:is>
          <x:t xml:space="preserve">Pilot restaurant owner + SHIDA QA</x:t>
        </x:is>
      </x:c>
      <x:c r="G20" s="28" t="inlineStr">
        <x:is>
          <x:t xml:space="preserve"/>
        </x:is>
      </x:c>
      <x:c r="H20" s="28" t="inlineStr">
        <x:is>
          <x:t xml:space="preserve">Not run; live release step requires approval and observed evidence.</x:t>
        </x:is>
      </x:c>
    </x:row>
  </x:sheetData>
  <x:conditionalFormatting sqref="E6:E2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1">
    <x:dataValidation type="list" allowBlank="0" showDropDown="0" showInputMessage="0" showErrorMessage="0" sqref="E6:E20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2509cbc4b34e18"/>
  </x:tableParts>
</x:worksheet>
</file>

<file path=xl/worksheets/sheet5.xml><?xml version="1.0" encoding="utf-8"?>
<x:worksheet xmlns:x="http://schemas.openxmlformats.org/spreadsheetml/2006/main">
  <x:sheetPr>
    <x:tabColor rgb="FFA94A39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63" customWidth="1"/>
    <x:col min="3" max="3" width="15" customWidth="1"/>
    <x:col min="4" max="4" width="18" customWidth="1"/>
    <x:col min="5" max="5" width="70" customWidth="1"/>
    <x:col min="6" max="6" width="20" customWidth="1"/>
    <x:col min="7" max="7" width="17" customWidth="1"/>
    <x:col min="8" max="8" width="60" customWidth="1"/>
  </x:cols>
  <x:sheetData>
    <x:row r="2">
      <x:c r="A2" s="2" t="inlineStr">
        <x:is>
          <x:t xml:space="preserve">Issues and decisions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3" t="inlineStr">
        <x:is>
          <x:t xml:space="preserve">Review blocking and high items before the founder release decision.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Known issue / boundary</x:t>
        </x:is>
      </x:c>
      <x:c r="C5" s="5" t="inlineStr">
        <x:is>
          <x:t xml:space="preserve">Severity</x:t>
        </x:is>
      </x:c>
      <x:c r="D5" s="5" t="inlineStr">
        <x:is>
          <x:t xml:space="preserve">Status</x:t>
        </x:is>
      </x:c>
      <x:c r="E5" s="5" t="inlineStr">
        <x:is>
          <x:t xml:space="preserve">Next decision or action</x:t>
        </x:is>
      </x:c>
      <x:c r="F5" s="5" t="inlineStr">
        <x:is>
          <x:t xml:space="preserve">Owner</x:t>
        </x:is>
      </x:c>
      <x:c r="G5" s="5" t="inlineStr">
        <x:is>
          <x:t xml:space="preserve">Review date</x:t>
        </x:is>
      </x:c>
      <x:c r="H5" s="5" t="inlineStr">
        <x:is>
          <x:t xml:space="preserve">Evidence / decision</x:t>
        </x:is>
      </x:c>
    </x:row>
    <x:row r="6" ht="90" customHeight="1">
      <x:c r="A6" s="6" t="inlineStr">
        <x:is>
          <x:t xml:space="preserve">I01</x:t>
        </x:is>
      </x:c>
      <x:c r="B6" s="28" t="inlineStr">
        <x:is>
          <x:t xml:space="preserve">Historical platform-wide suite remains red: 8076 passed / 168 failed / 1005 skipped; outside Restaurant pilot scope.</x:t>
        </x:is>
      </x:c>
      <x:c r="C6" s="28" t="inlineStr">
        <x:is>
          <x:t xml:space="preserve">High</x:t>
        </x:is>
      </x:c>
      <x:c r="D6" s="28" t="inlineStr">
        <x:is>
          <x:t xml:space="preserve">Open</x:t>
        </x:is>
      </x:c>
      <x:c r="E6" s="28" t="inlineStr">
        <x:is>
          <x:t xml:space="preserve">Separate module maintenance per founder scope decision, 12 October 2026. No tests removed; shared Restaurant dependencies remain required in P01.</x:t>
        </x:is>
      </x:c>
      <x:c r="F6" s="28" t="inlineStr">
        <x:is>
          <x:t xml:space="preserve">Backend QA</x:t>
        </x:is>
      </x:c>
      <x:c r="G6" s="28" t="inlineStr">
        <x:is>
          <x:t xml:space="preserve">2026-10-12</x:t>
        </x:is>
      </x:c>
      <x:c r="H6" s="28" t="inlineStr">
        <x:is>
          <x:t xml:space="preserve">backend_closure_final_suite.json; backend_closure_failure_causes.json; restaurant_batch_full_suite.json; restaurant_batch_intermit_ra003.xml; restaurant_batch_pg_groups.json; restaurants_pilot_release_validation_2026-10-11.md</x:t>
        </x:is>
      </x:c>
    </x:row>
    <x:row r="7" ht="42" customHeight="1">
      <x:c r="A7" s="6" t="inlineStr">
        <x:is>
          <x:t xml:space="preserve">I02</x:t>
        </x:is>
      </x:c>
      <x:c r="B7" s="28" t="inlineStr">
        <x:is>
          <x:t xml:space="preserve">Populated staging migration/maintenance unaccepted</x:t>
        </x:is>
      </x:c>
      <x:c r="C7" s="28" t="inlineStr">
        <x:is>
          <x:t xml:space="preserve">Blocking</x:t>
        </x:is>
      </x:c>
      <x:c r="D7" s="28" t="inlineStr">
        <x:is>
          <x:t xml:space="preserve">Open</x:t>
        </x:is>
      </x:c>
      <x:c r="E7" s="28" t="inlineStr">
        <x:is>
          <x:t xml:space="preserve">Apply 0147→0148→0149 to designated staging with backup and preserved rows.</x:t>
        </x:is>
      </x:c>
      <x:c r="F7" s="28" t="inlineStr">
        <x:is>
          <x:t xml:space="preserve">Database / release engineer</x:t>
        </x:is>
      </x:c>
      <x:c r="G7" s="28" t="inlineStr">
        <x:is>
          <x:t xml:space="preserve">2026-10-11</x:t>
        </x:is>
      </x:c>
      <x:c r="H7" s="28" t="inlineStr">
        <x:is>
          <x:t xml:space="preserve">postgres_populated_verification.txt (local rehearsal)</x:t>
        </x:is>
      </x:c>
    </x:row>
    <x:row r="8" ht="42" customHeight="1">
      <x:c r="A8" s="6" t="inlineStr">
        <x:is>
          <x:t xml:space="preserve">I03</x:t>
        </x:is>
      </x:c>
      <x:c r="B8" s="28" t="inlineStr">
        <x:is>
          <x:t xml:space="preserve">Inherited frontend unit/lint gates and combined workday fixture open</x:t>
        </x:is>
      </x:c>
      <x:c r="C8" s="28" t="inlineStr">
        <x:is>
          <x:t xml:space="preserve">High</x:t>
        </x:is>
      </x:c>
      <x:c r="D8" s="28" t="inlineStr">
        <x:is>
          <x:t xml:space="preserve">In progress</x:t>
        </x:is>
      </x:c>
      <x:c r="E8" s="28" t="inlineStr">
        <x:is>
          <x:t xml:space="preserve">Triage 4 inherited Website unit failures and both lint gates; rebuild combined current-schema Business fixture.</x:t>
        </x:is>
      </x:c>
      <x:c r="F8" s="28" t="inlineStr">
        <x:is>
          <x:t xml:space="preserve">Website + Business QA</x:t>
        </x:is>
      </x:c>
      <x:c r="G8" s="28" t="inlineStr">
        <x:is>
          <x:t xml:space="preserve">2026-10-11</x:t>
        </x:is>
      </x:c>
      <x:c r="H8" s="28" t="inlineStr">
        <x:is>
          <x:t xml:space="preserve">website_31_identity_disposition.json; website_units_final.txt; integrated_business_stock.txt</x:t>
        </x:is>
      </x:c>
    </x:row>
    <x:row r="9" ht="65" customHeight="1">
      <x:c r="A9" s="6" t="inlineStr">
        <x:is>
          <x:t xml:space="preserve">I04</x:t>
        </x:is>
      </x:c>
      <x:c r="B9" s="28" t="inlineStr">
        <x:is>
          <x:t xml:space="preserve">Live WhatsApp and FR/EN/LN/SW acceptance pending</x:t>
        </x:is>
      </x:c>
      <x:c r="C9" s="28" t="inlineStr">
        <x:is>
          <x:t xml:space="preserve">High</x:t>
        </x:is>
      </x:c>
      <x:c r="D9" s="28" t="inlineStr">
        <x:is>
          <x:t xml:space="preserve">Open</x:t>
        </x:is>
      </x:c>
      <x:c r="E9" s="28" t="inlineStr">
        <x:is>
          <x:t xml:space="preserve">Personal web photos and responsive pages verified locally. Verify real-phone camera, provider storage, sign-in and native wording. Organization editor and establishment-photo removal remain follow-ups.</x:t>
        </x:is>
      </x:c>
      <x:c r="F9" s="28" t="inlineStr">
        <x:is>
          <x:t xml:space="preserve">Meta operations + language reviewers</x:t>
        </x:is>
      </x:c>
      <x:c r="G9" s="28" t="inlineStr">
        <x:is>
          <x:t xml:space="preserve">2026-10-12</x:t>
        </x:is>
      </x:c>
      <x:c r="H9" s="28" t="inlineStr">
        <x:is>
          <x:t xml:space="preserve">Backend restaurants_photo_contract.md; Website docs/restaurants-mobile-photos.md. No live provider, device or human-language sign-off.</x:t>
        </x:is>
      </x:c>
    </x:row>
    <x:row r="10" ht="42" customHeight="1">
      <x:c r="A10" s="6" t="inlineStr">
        <x:is>
          <x:t xml:space="preserve">I05</x:t>
        </x:is>
      </x:c>
      <x:c r="B10" s="28" t="inlineStr">
        <x:is>
          <x:t xml:space="preserve">Observed restaurant opening-to-close journey absent</x:t>
        </x:is>
      </x:c>
      <x:c r="C10" s="28" t="inlineStr">
        <x:is>
          <x:t xml:space="preserve">Blocking</x:t>
        </x:is>
      </x:c>
      <x:c r="D10" s="28" t="inlineStr">
        <x:is>
          <x:t xml:space="preserve">Open</x:t>
        </x:is>
      </x:c>
      <x:c r="E10" s="28" t="inlineStr">
        <x:is>
          <x:t xml:space="preserve">Run the documented two-guest workday with staff, stock, money, refunds and close.</x:t>
        </x:is>
      </x:c>
      <x:c r="F10" s="28" t="inlineStr">
        <x:is>
          <x:t xml:space="preserve">Pilot restaurant owner + SHIDA QA</x:t>
        </x:is>
      </x:c>
      <x:c r="G10" s="28" t="inlineStr">
        <x:is>
          <x:t xml:space="preserve">2026-10-11</x:t>
        </x:is>
      </x:c>
      <x:c r="H10" s="28" t="inlineStr">
        <x:is>
          <x:t xml:space="preserve">Manual journeys M01-M54 Not run</x:t>
        </x:is>
      </x:c>
    </x:row>
    <x:row r="11" ht="42" customHeight="1">
      <x:c r="A11" s="6" t="inlineStr">
        <x:is>
          <x:t xml:space="preserve">I06</x:t>
        </x:is>
      </x:c>
      <x:c r="B11" s="28" t="inlineStr">
        <x:is>
          <x:t xml:space="preserve">Proxy shared-source fairness fixed locally; deployment open</x:t>
        </x:is>
      </x:c>
      <x:c r="C11" s="28" t="inlineStr">
        <x:is>
          <x:t xml:space="preserve">High</x:t>
        </x:is>
      </x:c>
      <x:c r="D11" s="28" t="inlineStr">
        <x:is>
          <x:t xml:space="preserve">In progress</x:t>
        </x:is>
      </x:c>
      <x:c r="E11" s="28" t="inlineStr">
        <x:is>
          <x:t xml:space="preserve">Deploy both code revisions, configure same signing secret, verify shared 300 cap in staging.</x:t>
        </x:is>
      </x:c>
      <x:c r="F11" s="28" t="inlineStr">
        <x:is>
          <x:t xml:space="preserve">Backend + Website + infrastructure</x:t>
        </x:is>
      </x:c>
      <x:c r="G11" s="28" t="inlineStr">
        <x:is>
          <x:t xml:space="preserve">2026-10-11</x:t>
        </x:is>
      </x:c>
      <x:c r="H11" s="28" t="inlineStr">
        <x:is>
          <x:t xml:space="preserve">https_guest_proxy_probe.txt; tests/test_restaurant_guest_http.py</x:t>
        </x:is>
      </x:c>
    </x:row>
    <x:row r="12" ht="42" customHeight="1">
      <x:c r="A12" s="6" t="inlineStr">
        <x:is>
          <x:t xml:space="preserve">I07</x:t>
        </x:is>
      </x:c>
      <x:c r="B12" s="28" t="inlineStr">
        <x:is>
          <x:t xml:space="preserve">Deployed TLS and direct-port isolation unverified</x:t>
        </x:is>
      </x:c>
      <x:c r="C12" s="28" t="inlineStr">
        <x:is>
          <x:t xml:space="preserve">High</x:t>
        </x:is>
      </x:c>
      <x:c r="D12" s="28" t="inlineStr">
        <x:is>
          <x:t xml:space="preserve">Open</x:t>
        </x:is>
      </x:c>
      <x:c r="E12" s="28" t="inlineStr">
        <x:is>
          <x:t xml:space="preserve">Verify trusted forwarding, secure cookies, cache and API port isolation in staging.</x:t>
        </x:is>
      </x:c>
      <x:c r="F12" s="28" t="inlineStr">
        <x:is>
          <x:t xml:space="preserve">Infrastructure / release engineer</x:t>
        </x:is>
      </x:c>
      <x:c r="G12" s="28" t="inlineStr">
        <x:is>
          <x:t xml:space="preserve">2026-10-11</x:t>
        </x:is>
      </x:c>
      <x:c r="H12" s="28" t="inlineStr">
        <x:is>
          <x:t xml:space="preserve">https_guest_proxy_probe.txt local only</x:t>
        </x:is>
      </x:c>
    </x:row>
    <x:row r="13" ht="42" customHeight="1">
      <x:c r="A13" s="6" t="inlineStr">
        <x:is>
          <x:t xml:space="preserve">I08</x:t>
        </x:is>
      </x:c>
      <x:c r="B13" s="28" t="inlineStr">
        <x:is>
          <x:t xml:space="preserve">Opening cash requires local-day attestation</x:t>
        </x:is>
      </x:c>
      <x:c r="C13" s="28" t="inlineStr">
        <x:is>
          <x:t xml:space="preserve">Medium</x:t>
        </x:is>
      </x:c>
      <x:c r="D13" s="28" t="inlineStr">
        <x:is>
          <x:t xml:space="preserve">Open</x:t>
        </x:is>
      </x:c>
      <x:c r="E13" s="28" t="inlineStr">
        <x:is>
          <x:t xml:space="preserve">Train owner to record opening cash during the local day; escalate missed opening.</x:t>
        </x:is>
      </x:c>
      <x:c r="F13" s="28" t="inlineStr">
        <x:is>
          <x:t xml:space="preserve">Pilot restaurant owner</x:t>
        </x:is>
      </x:c>
      <x:c r="G13" s="28" t="inlineStr">
        <x:is>
          <x:t xml:space="preserve">2026-10-11</x:t>
        </x:is>
      </x:c>
      <x:c r="H13" s="28" t="inlineStr">
        <x:is>
          <x:t xml:space="preserve">restaurant_daily_service.py</x:t>
        </x:is>
      </x:c>
    </x:row>
    <x:row r="14" ht="42" customHeight="1">
      <x:c r="A14" s="6" t="inlineStr">
        <x:is>
          <x:t xml:space="preserve">I09</x:t>
        </x:is>
      </x:c>
      <x:c r="B14" s="28" t="inlineStr">
        <x:is>
          <x:t xml:space="preserve">Alcohol display/promotion requires actual menu review</x:t>
        </x:is>
      </x:c>
      <x:c r="C14" s="28" t="inlineStr">
        <x:is>
          <x:t xml:space="preserve">High</x:t>
        </x:is>
      </x:c>
      <x:c r="D14" s="28" t="inlineStr">
        <x:is>
          <x:t xml:space="preserve">Open</x:t>
        </x:is>
      </x:c>
      <x:c r="E14" s="28" t="inlineStr">
        <x:is>
          <x:t xml:space="preserve">Inspect pilot menu and WhatsApp outbound text with product policy owner.</x:t>
        </x:is>
      </x:c>
      <x:c r="F14" s="28" t="inlineStr">
        <x:is>
          <x:t xml:space="preserve">Pilot content / policy owner</x:t>
        </x:is>
      </x:c>
      <x:c r="G14" s="28" t="inlineStr">
        <x:is>
          <x:t xml:space="preserve">2026-10-11</x:t>
        </x:is>
      </x:c>
      <x:c r="H14" s="28" t="inlineStr">
        <x:is>
          <x:t xml:space="preserve">No live pilot content reviewed</x:t>
        </x:is>
      </x:c>
    </x:row>
    <x:row r="15" ht="42" customHeight="1">
      <x:c r="A15" s="6" t="inlineStr">
        <x:is>
          <x:t xml:space="preserve">I10</x:t>
        </x:is>
      </x:c>
      <x:c r="B15" s="28" t="inlineStr">
        <x:is>
          <x:t xml:space="preserve">Support wording must distinguish persisted/provider/read</x:t>
        </x:is>
      </x:c>
      <x:c r="C15" s="28" t="inlineStr">
        <x:is>
          <x:t xml:space="preserve">Medium</x:t>
        </x:is>
      </x:c>
      <x:c r="D15" s="28" t="inlineStr">
        <x:is>
          <x:t xml:space="preserve">Open</x:t>
        </x:is>
      </x:c>
      <x:c r="E15" s="28" t="inlineStr">
        <x:is>
          <x:t xml:space="preserve">User instructed leaving EN/FR guide staged; render every page when available, then review with support and validate live delivery wording.</x:t>
        </x:is>
      </x:c>
      <x:c r="F15" s="28" t="inlineStr">
        <x:is>
          <x:t xml:space="preserve">Support lead + Meta operations</x:t>
        </x:is>
      </x:c>
      <x:c r="G15" s="28" t="inlineStr">
        <x:is>
          <x:t xml:space="preserve">2026-10-11</x:t>
        </x:is>
      </x:c>
      <x:c r="H15" s="28" t="inlineStr">
        <x:is>
          <x:t xml:space="preserve">support_guide_review_corrected.docx staged, original unchanged</x:t>
        </x:is>
      </x:c>
    </x:row>
    <x:row r="16" ht="42" customHeight="1">
      <x:c r="A16" s="6" t="inlineStr">
        <x:is>
          <x:t xml:space="preserve">I11</x:t>
        </x:is>
      </x:c>
      <x:c r="B16" s="28" t="inlineStr">
        <x:is>
          <x:t xml:space="preserve">Shared bill, recipes and cross-location reports are out of pilot scope</x:t>
        </x:is>
      </x:c>
      <x:c r="C16" s="28" t="inlineStr">
        <x:is>
          <x:t xml:space="preserve">Info</x:t>
        </x:is>
      </x:c>
      <x:c r="D16" s="28" t="inlineStr">
        <x:is>
          <x:t xml:space="preserve">Accepted boundary</x:t>
        </x:is>
      </x:c>
      <x:c r="E16" s="28" t="inlineStr">
        <x:is>
          <x:t xml:space="preserve">Keep support and seller promises within implemented scope.</x:t>
        </x:is>
      </x:c>
      <x:c r="F16" s="28" t="inlineStr">
        <x:is>
          <x:t xml:space="preserve">Product owner</x:t>
        </x:is>
      </x:c>
      <x:c r="G16" s="28" t="inlineStr">
        <x:is>
          <x:t xml:space="preserve">2026-10-11</x:t>
        </x:is>
      </x:c>
      <x:c r="H16" s="28" t="inlineStr">
        <x:is>
          <x:t xml:space="preserve">canonical restaurants_malewa.md</x:t>
        </x:is>
      </x:c>
    </x:row>
    <x:row r="17" ht="90" customHeight="1">
      <x:c r="A17" s="6" t="inlineStr">
        <x:is>
          <x:t xml:space="preserve">I12</x:t>
        </x:is>
      </x:c>
      <x:c r="B17" s="28" t="inlineStr">
        <x:is>
          <x:t xml:space="preserve">Founder scope decision: Restaurant pilot automated gate is separate from historical full-product suites.</x:t>
        </x:is>
      </x:c>
      <x:c r="C17" s="28" t="inlineStr">
        <x:is>
          <x:t xml:space="preserve">Info</x:t>
        </x:is>
      </x:c>
      <x:c r="D17" s="28" t="inlineStr">
        <x:is>
          <x:t xml:space="preserve">Accepted</x:t>
        </x:is>
      </x:c>
      <x:c r="E17" s="28" t="inlineStr">
        <x:is>
          <x:t xml:space="preserve">Run exact scoped Backend/shared controls, PostgreSQL, frontend screens/build/type/lint. Keep live acceptance open.</x:t>
        </x:is>
      </x:c>
      <x:c r="F17" s="28" t="inlineStr">
        <x:is>
          <x:t xml:space="preserve">Founder</x:t>
        </x:is>
      </x:c>
      <x:c r="G17" s="28" t="inlineStr">
        <x:is>
          <x:t xml:space="preserve">2026-10-12</x:t>
        </x:is>
      </x:c>
      <x:c r="H17" s="28" t="inlineStr">
        <x:is>
          <x:t xml:space="preserve">C:\NIHILOBA\Backend\docs\restaurant_pilot_test_gate.md</x:t>
        </x:is>
      </x:c>
    </x:row>
  </x:sheetData>
  <x:dataValidations count="1">
    <x:dataValidation type="list" allowBlank="0" showDropDown="0" showInputMessage="0" showErrorMessage="0" sqref="D6:D16">
      <x:formula1>"Open,In progress,Resolved,Accepted,Known scope"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83a6cb09944c6f"/>
  </x:tableParts>
</x:worksheet>
</file>

<file path=xl/worksheets/sheet6.xml><?xml version="1.0" encoding="utf-8"?>
<x:worksheet xmlns:x="http://schemas.openxmlformats.org/spreadsheetml/2006/main">
  <x:sheetPr>
    <x:tabColor rgb="FF657889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12" customWidth="1"/>
    <x:col min="2" max="2" width="34" customWidth="1"/>
    <x:col min="3" max="3" width="100" customWidth="1"/>
    <x:col min="4" max="4" width="55" customWidth="1"/>
    <x:col min="5" max="5" width="22" customWidth="1"/>
    <x:col min="6" max="6" width="25" customWidth="1"/>
    <x:col min="7" max="7" width="18" customWidth="1"/>
    <x:col min="8" max="8" width="60" customWidth="1"/>
  </x:cols>
  <x:sheetData>
    <x:row r="2">
      <x:c r="A2" s="17" t="inlineStr">
        <x:is>
          <x:t xml:space="preserve">Sources and run log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1" t="inlineStr">
        <x:is>
          <x:t xml:space="preserve">Evidence paths are local handoffs. Add each final validation run below with exact commits and environment.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Source</x:t>
        </x:is>
      </x:c>
      <x:c r="C5" s="5" t="inlineStr">
        <x:is>
          <x:t xml:space="preserve">Local path / link</x:t>
        </x:is>
      </x:c>
      <x:c r="D5" s="5" t="inlineStr">
        <x:is>
          <x:t xml:space="preserve">What it supports</x:t>
        </x:is>
      </x:c>
      <x:c r="E5" s="1" t="n"/>
      <x:c r="F5" s="1" t="n"/>
      <x:c r="G5" s="1" t="n"/>
      <x:c r="H5" s="1" t="n"/>
    </x:row>
    <x:row r="6" ht="29" customHeight="1">
      <x:c r="A6" s="1" t="inlineStr">
        <x:is>
          <x:t xml:space="preserve">S01</x:t>
        </x:is>
      </x:c>
      <x:c r="B6" s="1" t="inlineStr">
        <x:is>
          <x:t xml:space="preserve">Master implementation tracker</x:t>
        </x:is>
      </x:c>
      <x:c r="C6" s="18" t="inlineStr">
        <x:is>
          <x:t xml:space="preserve">C:\Users\mabal\OneDrive\NIHILOBA\SHIDA\Development\shida_restaurants_pilot_tracker_2026-10-10.xlsx</x:t>
        </x:is>
      </x:c>
      <x:c r="D6" s="1" t="inlineStr">
        <x:is>
          <x:t xml:space="preserve">21/21 local implementation status; release separate</x:t>
        </x:is>
      </x:c>
      <x:c r="E6" s="1" t="n"/>
      <x:c r="F6" s="1" t="n"/>
      <x:c r="G6" s="1" t="n"/>
      <x:c r="H6" s="1" t="n"/>
    </x:row>
    <x:row r="7" ht="29" customHeight="1">
      <x:c r="A7" s="1" t="inlineStr">
        <x:is>
          <x:t xml:space="preserve">S02</x:t>
        </x:is>
      </x:c>
      <x:c r="B7" s="1" t="inlineStr">
        <x:is>
          <x:t xml:space="preserve">Canonical Restaurant scope</x:t>
        </x:is>
      </x:c>
      <x:c r="C7" s="18" t="inlineStr">
        <x:is>
          <x:t xml:space="preserve">C:\NIHILOBA\Backend\docs\business_modules\restaurants_malewa.md</x:t>
        </x:is>
      </x:c>
      <x:c r="D7" s="1" t="inlineStr">
        <x:is>
          <x:t xml:space="preserve">Restaurant policy and current module status</x:t>
        </x:is>
      </x:c>
      <x:c r="E7" s="1" t="n"/>
      <x:c r="F7" s="1" t="n"/>
      <x:c r="G7" s="1" t="n"/>
      <x:c r="H7" s="1" t="n"/>
    </x:row>
    <x:row r="8" ht="29" customHeight="1">
      <x:c r="A8" s="1" t="inlineStr">
        <x:is>
          <x:t xml:space="preserve">S03</x:t>
        </x:is>
      </x:c>
      <x:c r="B8" s="1" t="inlineStr">
        <x:is>
          <x:t xml:space="preserve">Guest ordering handoff</x:t>
        </x:is>
      </x:c>
      <x:c r="C8" s="18" t="inlineStr">
        <x:is>
          <x:t xml:space="preserve">C:\NIHILOBA\nihiloba-website\docs\restaurants-rm-v11-09b2.md</x:t>
        </x:is>
      </x:c>
      <x:c r="D8" s="1" t="inlineStr">
        <x:is>
          <x:t xml:space="preserve">Account-free guest page and release risks</x:t>
        </x:is>
      </x:c>
      <x:c r="E8" s="1" t="n"/>
      <x:c r="F8" s="1" t="n"/>
      <x:c r="G8" s="1" t="n"/>
      <x:c r="H8" s="1" t="n"/>
    </x:row>
    <x:row r="9" ht="29" customHeight="1">
      <x:c r="A9" s="1" t="inlineStr">
        <x:is>
          <x:t xml:space="preserve">S04</x:t>
        </x:is>
      </x:c>
      <x:c r="B9" s="1" t="inlineStr">
        <x:is>
          <x:t xml:space="preserve">Daily closing handoff</x:t>
        </x:is>
      </x:c>
      <x:c r="C9" s="18" t="inlineStr">
        <x:is>
          <x:t xml:space="preserve">C:\NIHILOBA\Backend\docs\restaurants_rm_v11_10b6b_daily_closing.md</x:t>
        </x:is>
      </x:c>
      <x:c r="D9" s="1" t="inlineStr">
        <x:is>
          <x:t xml:space="preserve">Local day, cash, closing and 0145 evidence</x:t>
        </x:is>
      </x:c>
      <x:c r="E9" s="1" t="n"/>
      <x:c r="F9" s="1" t="n"/>
      <x:c r="G9" s="1" t="n"/>
      <x:c r="H9" s="1" t="n"/>
    </x:row>
    <x:row r="10" ht="29" customHeight="1">
      <x:c r="A10" s="1" t="inlineStr">
        <x:is>
          <x:t xml:space="preserve">S05</x:t>
        </x:is>
      </x:c>
      <x:c r="B10" s="1" t="inlineStr">
        <x:is>
          <x:t xml:space="preserve">Guest auto-accept handoff</x:t>
        </x:is>
      </x:c>
      <x:c r="C10" s="18" t="inlineStr">
        <x:is>
          <x:t xml:space="preserve">C:\NIHILOBA\Backend\docs\restaurants_rm_v11_guest_qr_auto_accept.md</x:t>
        </x:is>
      </x:c>
      <x:c r="D10" s="1" t="inlineStr">
        <x:is>
          <x:t xml:space="preserve">0146 and focused validation</x:t>
        </x:is>
      </x:c>
      <x:c r="E10" s="1" t="n"/>
      <x:c r="F10" s="1" t="n"/>
      <x:c r="G10" s="1" t="n"/>
      <x:c r="H10" s="1" t="n"/>
    </x:row>
    <x:row r="11" ht="29" customHeight="1">
      <x:c r="A11" s="1" t="inlineStr">
        <x:is>
          <x:t xml:space="preserve">S06</x:t>
        </x:is>
      </x:c>
      <x:c r="B11" s="1" t="inlineStr">
        <x:is>
          <x:t xml:space="preserve">Fixed tables handoff</x:t>
        </x:is>
      </x:c>
      <x:c r="C11" s="18" t="inlineStr">
        <x:is>
          <x:t xml:space="preserve">C:\NIHILOBA\Backend\docs\restaurants_rm_v11_fixed_tables.md</x:t>
        </x:is>
      </x:c>
      <x:c r="D11" s="1" t="inlineStr">
        <x:is>
          <x:t xml:space="preserve">0147 and physical acceptance</x:t>
        </x:is>
      </x:c>
      <x:c r="E11" s="1" t="n"/>
      <x:c r="F11" s="1" t="n"/>
      <x:c r="G11" s="1" t="n"/>
      <x:c r="H11" s="1" t="n"/>
    </x:row>
    <x:row r="12" ht="29" customHeight="1">
      <x:c r="A12" s="1" t="inlineStr">
        <x:is>
          <x:t xml:space="preserve">S07</x:t>
        </x:is>
      </x:c>
      <x:c r="B12" s="1" t="inlineStr">
        <x:is>
          <x:t xml:space="preserve">Reservations handoff</x:t>
        </x:is>
      </x:c>
      <x:c r="C12" s="18" t="inlineStr">
        <x:is>
          <x:t xml:space="preserve">C:\NIHILOBA\Backend\docs\restaurants_simple_reservations.md</x:t>
        </x:is>
      </x:c>
      <x:c r="D12" s="1" t="inlineStr">
        <x:is>
          <x:t xml:space="preserve">0148, account requirement, no live PostgreSQL</x:t>
        </x:is>
      </x:c>
      <x:c r="E12" s="1" t="n"/>
      <x:c r="F12" s="1" t="n"/>
      <x:c r="G12" s="1" t="n"/>
      <x:c r="H12" s="1" t="n"/>
    </x:row>
    <x:row r="13" ht="29" customHeight="1">
      <x:c r="A13" s="1" t="inlineStr">
        <x:is>
          <x:t xml:space="preserve">S08</x:t>
        </x:is>
      </x:c>
      <x:c r="B13" s="1" t="inlineStr">
        <x:is>
          <x:t xml:space="preserve">Business checkout handoff</x:t>
        </x:is>
      </x:c>
      <x:c r="C13" s="18" t="inlineStr">
        <x:is>
          <x:t xml:space="preserve">C:\NIHILOBA\shida-business\docs\restaurants_rm_v11_10f3_checkout.md</x:t>
        </x:is>
      </x:c>
      <x:c r="D13" s="1" t="inlineStr">
        <x:is>
          <x:t xml:space="preserve">Service money and inherited frontend gate</x:t>
        </x:is>
      </x:c>
      <x:c r="E13" s="1" t="n"/>
      <x:c r="F13" s="1" t="n"/>
      <x:c r="G13" s="1" t="n"/>
      <x:c r="H13" s="1" t="n"/>
    </x:row>
    <x:row r="14" ht="29" customHeight="1">
      <x:c r="A14" s="1" t="inlineStr">
        <x:is>
          <x:t xml:space="preserve">S09</x:t>
        </x:is>
      </x:c>
      <x:c r="B14" s="1" t="inlineStr">
        <x:is>
          <x:t xml:space="preserve">Website checkout handoff</x:t>
        </x:is>
      </x:c>
      <x:c r="C14" s="18" t="inlineStr">
        <x:is>
          <x:t xml:space="preserve">C:\NIHILOBA\nihiloba-website\docs\restaurants_rm_v11_10f3_checkout.md</x:t>
        </x:is>
      </x:c>
      <x:c r="D14" s="1" t="inlineStr">
        <x:is>
          <x:t xml:space="preserve">Private guest money summary</x:t>
        </x:is>
      </x:c>
      <x:c r="E14" s="1" t="n"/>
      <x:c r="F14" s="1" t="n"/>
      <x:c r="G14" s="1" t="n"/>
      <x:c r="H14" s="1" t="n"/>
    </x:row>
    <x:row r="15" ht="29" customHeight="1">
      <x:c r="A15" s="1" t="inlineStr">
        <x:is>
          <x:t xml:space="preserve">S10</x:t>
        </x:is>
      </x:c>
      <x:c r="B15" s="1" t="inlineStr">
        <x:is>
          <x:t xml:space="preserve">Business daily operations handoff</x:t>
        </x:is>
      </x:c>
      <x:c r="C15" s="18" t="inlineStr">
        <x:is>
          <x:t xml:space="preserve">C:\NIHILOBA\shida-business\docs\restaurants_rm_v11_10f4_daily_operations.md</x:t>
        </x:is>
      </x:c>
      <x:c r="D15" s="1" t="inlineStr">
        <x:is>
          <x:t xml:space="preserve">Owner screens and local browser checks</x:t>
        </x:is>
      </x:c>
      <x:c r="E15" s="1" t="n"/>
      <x:c r="F15" s="1" t="n"/>
      <x:c r="G15" s="1" t="n"/>
      <x:c r="H15" s="1" t="n"/>
    </x:row>
    <x:row r="16" ht="29" customHeight="1">
      <x:c r="A16" s="1" t="inlineStr">
        <x:is>
          <x:t xml:space="preserve">S11</x:t>
        </x:is>
      </x:c>
      <x:c r="B16" s="1" t="inlineStr">
        <x:is>
          <x:t xml:space="preserve">Website daily operations handoff</x:t>
        </x:is>
      </x:c>
      <x:c r="C16" s="18" t="inlineStr">
        <x:is>
          <x:t xml:space="preserve">C:\NIHILOBA\nihiloba-website\docs\restaurants_rm_v11_10f4_daily_operations.md</x:t>
        </x:is>
      </x:c>
      <x:c r="D16" s="1" t="inlineStr">
        <x:is>
          <x:t xml:space="preserve">Personal owner screens</x:t>
        </x:is>
      </x:c>
      <x:c r="E16" s="1" t="n"/>
      <x:c r="F16" s="1" t="n"/>
      <x:c r="G16" s="1" t="n"/>
      <x:c r="H16" s="1" t="n"/>
    </x:row>
    <x:row r="17">
      <x:c r="A17" s="1" t="n"/>
      <x:c r="B17" s="1" t="n"/>
      <x:c r="C17" s="1" t="n"/>
      <x:c r="D17" s="1" t="n"/>
      <x:c r="E17" s="1" t="n"/>
      <x:c r="F17" s="1" t="n"/>
      <x:c r="G17" s="1" t="n"/>
      <x:c r="H17" s="1" t="n"/>
    </x:row>
    <x:row r="18">
      <x:c r="A18" s="1" t="n"/>
      <x:c r="B18" s="1" t="n"/>
      <x:c r="C18" s="1" t="n"/>
      <x:c r="D18" s="1" t="n"/>
      <x:c r="E18" s="1" t="n"/>
      <x:c r="F18" s="1" t="n"/>
      <x:c r="G18" s="1" t="n"/>
      <x:c r="H18" s="1" t="n"/>
    </x:row>
    <x:row r="19">
      <x:c r="A19" s="16" t="inlineStr">
        <x:is>
          <x:t xml:space="preserve">Validation run log — append after each test session</x:t>
        </x:is>
      </x:c>
      <x:c r="B19" s="1" t="n"/>
      <x:c r="C19" s="1" t="n"/>
      <x:c r="D19" s="1" t="n"/>
      <x:c r="E19" s="1" t="n"/>
      <x:c r="F19" s="1" t="n"/>
      <x:c r="G19" s="1" t="n"/>
      <x:c r="H19" s="1" t="n"/>
    </x:row>
    <x:row r="20">
      <x:c r="A20" s="1" t="n"/>
      <x:c r="B20" s="1" t="n"/>
      <x:c r="C20" s="1" t="n"/>
      <x:c r="D20" s="1" t="n"/>
      <x:c r="E20" s="1" t="n"/>
      <x:c r="F20" s="1" t="n"/>
      <x:c r="G20" s="1" t="n"/>
      <x:c r="H20" s="1" t="n"/>
    </x:row>
    <x:row r="21" ht="30" customHeight="1">
      <x:c r="A21" s="5" t="inlineStr">
        <x:is>
          <x:t xml:space="preserve">Date</x:t>
        </x:is>
      </x:c>
      <x:c r="B21" s="5" t="inlineStr">
        <x:is>
          <x:t xml:space="preserve">Environment</x:t>
        </x:is>
      </x:c>
      <x:c r="C21" s="5" t="inlineStr">
        <x:is>
          <x:t xml:space="preserve">Backend commit</x:t>
        </x:is>
      </x:c>
      <x:c r="D21" s="5" t="inlineStr">
        <x:is>
          <x:t xml:space="preserve">Website commit</x:t>
        </x:is>
      </x:c>
      <x:c r="E21" s="5" t="inlineStr">
        <x:is>
          <x:t xml:space="preserve">Business commit</x:t>
        </x:is>
      </x:c>
      <x:c r="F21" s="5" t="inlineStr">
        <x:is>
          <x:t xml:space="preserve">Check IDs</x:t>
        </x:is>
      </x:c>
      <x:c r="G21" s="5" t="inlineStr">
        <x:is>
          <x:t xml:space="preserve">Outcome</x:t>
        </x:is>
      </x:c>
      <x:c r="H21" s="5" t="inlineStr">
        <x:is>
          <x:t xml:space="preserve">Evidence / notes</x:t>
        </x:is>
      </x:c>
    </x:row>
    <x:row r="22">
      <x:c r="A22" s="1" t="inlineStr">
        <x:is>
          <x:t xml:space="preserve">2026-10-11</x:t>
        </x:is>
      </x:c>
      <x:c r="B22" s="1" t="inlineStr">
        <x:is>
          <x:t xml:space="preserve">Local isolated SQLite/PostgreSQL</x:t>
        </x:is>
      </x:c>
      <x:c r="C22" s="1" t="inlineStr">
        <x:is>
          <x:t xml:space="preserve">75f1022727bf8bd774ace0d676df4fec0856e6d4</x:t>
        </x:is>
      </x:c>
      <x:c r="D22" s="1" t="inlineStr">
        <x:is>
          <x:t xml:space="preserve">1076420ad1c4b10bf31dff85a79ec35d5c132b9c</x:t>
        </x:is>
      </x:c>
      <x:c r="E22" s="1" t="inlineStr">
        <x:is>
          <x:t xml:space="preserve">aa2e075e66696604c82da027261028660989eba5</x:t>
        </x:is>
      </x:c>
      <x:c r="F22" s="1" t="inlineStr">
        <x:is>
          <x:t xml:space="preserve">A01,A03,A05-A17</x:t>
        </x:is>
      </x:c>
      <x:c r="G22" s="1" t="inlineStr">
        <x:is>
          <x:t xml:space="preserve">Focused 272 pass/2 skip; PG races 26 pass</x:t>
        </x:is>
      </x:c>
      <x:c r="H22" s="1" t="inlineStr">
        <x:is>
          <x:t xml:space="preserve">Backend evidence: backend_focused, postgres_race, postgres_money, postgres_daily, migrations, static checks</x:t>
        </x:is>
      </x:c>
    </x:row>
    <x:row r="23">
      <x:c r="A23" s="1" t="inlineStr">
        <x:is>
          <x:t xml:space="preserve">2026-10-11</x:t>
        </x:is>
      </x:c>
      <x:c r="B23" s="1" t="inlineStr">
        <x:is>
          <x:t xml:space="preserve">Local Website</x:t>
        </x:is>
      </x:c>
      <x:c r="C23" s="1" t="inlineStr">
        <x:is>
          <x:t xml:space="preserve">75f1022727bf8bd774ace0d676df4fec0856e6d4</x:t>
        </x:is>
      </x:c>
      <x:c r="D23" s="1" t="inlineStr">
        <x:is>
          <x:t xml:space="preserve">1076420ad1c4b10bf31dff85a79ec35d5c132b9c</x:t>
        </x:is>
      </x:c>
      <x:c r="E23" s="1" t="inlineStr">
        <x:is>
          <x:t xml:space="preserve">aa2e075e66696604c82da027261028660989eba5</x:t>
        </x:is>
      </x:c>
      <x:c r="F23" s="1" t="inlineStr">
        <x:is>
          <x:t xml:space="preserve">A19-A22</x:t>
        </x:is>
      </x:c>
      <x:c r="G23" s="1" t="inlineStr">
        <x:is>
          <x:t xml:space="preserve">Build/type pass; suites/lint red</x:t>
        </x:is>
      </x:c>
      <x:c r="H23" s="1" t="inlineStr">
        <x:is>
          <x:t xml:space="preserve">Backend/docs/evidence/restaurants_pilot_audit/website_*.txt and *_identity.json</x:t>
        </x:is>
      </x:c>
    </x:row>
    <x:row r="24">
      <x:c r="A24" s="1" t="inlineStr">
        <x:is>
          <x:t xml:space="preserve">2026-10-11</x:t>
        </x:is>
      </x:c>
      <x:c r="B24" s="1" t="inlineStr">
        <x:is>
          <x:t xml:space="preserve">Local Business</x:t>
        </x:is>
      </x:c>
      <x:c r="C24" s="1" t="inlineStr">
        <x:is>
          <x:t xml:space="preserve">75f1022727bf8bd774ace0d676df4fec0856e6d4</x:t>
        </x:is>
      </x:c>
      <x:c r="D24" s="1" t="inlineStr">
        <x:is>
          <x:t xml:space="preserve">1076420ad1c4b10bf31dff85a79ec35d5c132b9c</x:t>
        </x:is>
      </x:c>
      <x:c r="E24" s="1" t="inlineStr">
        <x:is>
          <x:t xml:space="preserve">aa2e075e66696604c82da027261028660989eba5</x:t>
        </x:is>
      </x:c>
      <x:c r="F24" s="1" t="inlineStr">
        <x:is>
          <x:t xml:space="preserve">A23-A26</x:t>
        </x:is>
      </x:c>
      <x:c r="G24" s="1" t="inlineStr">
        <x:is>
          <x:t xml:space="preserve">Build/type pass; units/lint red</x:t>
        </x:is>
      </x:c>
      <x:c r="H24" s="1" t="inlineStr">
        <x:is>
          <x:t xml:space="preserve">Backend/docs/evidence/restaurants_pilot_audit/business_*.txt and business_failure_identity.json</x:t>
        </x:is>
      </x:c>
    </x:row>
    <x:row r="25">
      <x:c r="A25" s="1" t="inlineStr">
        <x:is>
          <x:t xml:space="preserve">2026-10-11</x:t>
        </x:is>
      </x:c>
      <x:c r="B25" s="1" t="inlineStr">
        <x:is>
          <x:t xml:space="preserve">Local audit / unavailable live</x:t>
        </x:is>
      </x:c>
      <x:c r="C25" s="1" t="inlineStr">
        <x:is>
          <x:t xml:space="preserve">75f1022727bf8bd774ace0d676df4fec0856e6d4</x:t>
        </x:is>
      </x:c>
      <x:c r="D25" s="1" t="inlineStr">
        <x:is>
          <x:t xml:space="preserve">1076420ad1c4b10bf31dff85a79ec35d5c132b9c</x:t>
        </x:is>
      </x:c>
      <x:c r="E25" s="1" t="inlineStr">
        <x:is>
          <x:t xml:space="preserve">aa2e075e66696604c82da027261028660989eba5</x:t>
        </x:is>
      </x:c>
      <x:c r="F25" s="1" t="inlineStr">
        <x:is>
          <x:t xml:space="preserve">A02,A04-A16,A18,A27-A31</x:t>
        </x:is>
      </x:c>
      <x:c r="G25" s="1" t="inlineStr">
        <x:is>
          <x:t xml:space="preserve">Open or blocked release gates</x:t>
        </x:is>
      </x:c>
      <x:c r="H25" s="1" t="inlineStr">
        <x:is>
          <x:t xml:space="preserve">Backend/docs/restaurants_pilot_final_audit_2026-10-11.md</x:t>
        </x:is>
      </x:c>
    </x:row>
    <x:row r="26">
      <x:c r="A26" s="1" t="inlineStr">
        <x:is>
          <x:t xml:space="preserve">2026-10-11</x:t>
        </x:is>
      </x:c>
      <x:c r="B26" s="1" t="inlineStr">
        <x:is>
          <x:t xml:space="preserve">Disposable PostgreSQL 16.15; current head 0149</x:t>
        </x:is>
      </x:c>
      <x:c r="C26" s="1" t="inlineStr">
        <x:is>
          <x:t xml:space="preserve">c91e47b66129bb0ccd7dbf243bc5df8f8889de7c</x:t>
        </x:is>
      </x:c>
      <x:c r="D26" s="1" t="inlineStr">
        <x:is>
          <x:t xml:space="preserve">1076420ad1c4b10bf31dff85a79ec35d5c132b9c</x:t>
        </x:is>
      </x:c>
      <x:c r="E26" s="1" t="inlineStr">
        <x:is>
          <x:t xml:space="preserve">aa2e075e66696604c82da027261028660989eba5</x:t>
        </x:is>
      </x:c>
      <x:c r="F26" s="1" t="inlineStr">
        <x:is>
          <x:t xml:space="preserve">A01,A03,A30</x:t>
        </x:is>
      </x:c>
      <x:c r="G26" s="1" t="inlineStr">
        <x:is>
          <x:t xml:space="preserve">Populated 0147→0148→0149 and maintenance passed locally</x:t>
        </x:is>
      </x:c>
      <x:c r="H26" s="1" t="inlineStr">
        <x:is>
          <x:t xml:space="preserve">C:\NIHILOBA\Backend\docs\evidence\restaurants_pilot_release\postgres_populated_verification.txt; postgres_maintenance_rehearsal.txt</x:t>
        </x:is>
      </x:c>
    </x:row>
    <x:row r="27">
      <x:c r="A27" s="1" t="inlineStr">
        <x:is>
          <x:t xml:space="preserve">2026-10-11</x:t>
        </x:is>
      </x:c>
      <x:c r="B27" s="1" t="inlineStr">
        <x:is>
          <x:t xml:space="preserve">Website current/baseline production fixture</x:t>
        </x:is>
      </x:c>
      <x:c r="C27" s="1" t="inlineStr">
        <x:is>
          <x:t xml:space="preserve">c91e47b66129bb0ccd7dbf243bc5df8f8889de7c</x:t>
        </x:is>
      </x:c>
      <x:c r="D27" s="1" t="inlineStr">
        <x:is>
          <x:t xml:space="preserve">1076420ad1c4b10bf31dff85a79ec35d5c132b9c</x:t>
        </x:is>
      </x:c>
      <x:c r="E27" s="1" t="inlineStr">
        <x:is>
          <x:t xml:space="preserve">aa2e075e66696604c82da027261028660989eba5</x:t>
        </x:is>
      </x:c>
      <x:c r="F27" s="1" t="inlineStr">
        <x:is>
          <x:t xml:space="preserve">A19-A22</x:t>
        </x:is>
      </x:c>
      <x:c r="G27" s="1" t="inlineStr">
        <x:is>
          <x:t xml:space="preserve">Current 74 pass/32 skip; baseline 74 pass/6 skip; 31 fixture-related; units 376/4 inherited</x:t>
        </x:is>
      </x:c>
      <x:c r="H27" s="1" t="inlineStr">
        <x:is>
          <x:t xml:space="preserve">C:\NIHILOBA\Backend\docs\evidence\restaurants_pilot_release\website_browser_final_verified.txt; website_browser_baseline_comparable.txt; website_31_identity_disposition.json; website_units_final.txt</x:t>
        </x:is>
      </x:c>
    </x:row>
    <x:row r="28">
      <x:c r="A28" s="1" t="inlineStr">
        <x:is>
          <x:t xml:space="preserve">2026-10-11</x:t>
        </x:is>
      </x:c>
      <x:c r="B28" s="1" t="inlineStr">
        <x:is>
          <x:t xml:space="preserve">Business local HTTPS fixture</x:t>
        </x:is>
      </x:c>
      <x:c r="C28" s="1" t="inlineStr">
        <x:is>
          <x:t xml:space="preserve">c91e47b66129bb0ccd7dbf243bc5df8f8889de7c</x:t>
        </x:is>
      </x:c>
      <x:c r="D28" s="1" t="inlineStr">
        <x:is>
          <x:t xml:space="preserve">1076420ad1c4b10bf31dff85a79ec35d5c132b9c</x:t>
        </x:is>
      </x:c>
      <x:c r="E28" s="1" t="inlineStr">
        <x:is>
          <x:t xml:space="preserve">aa2e075e66696604c82da027261028660989eba5</x:t>
        </x:is>
      </x:c>
      <x:c r="F28" s="1" t="inlineStr">
        <x:is>
          <x:t xml:space="preserve">A23-A26</x:t>
        </x:is>
      </x:c>
      <x:c r="G28" s="1" t="inlineStr">
        <x:is>
          <x:t xml:space="preserve">Units 496 pass; full browser 34 pass/8 documented real-Backend skip/0 fail</x:t>
        </x:is>
      </x:c>
      <x:c r="H28" s="1" t="inlineStr">
        <x:is>
          <x:t xml:space="preserve">C:\NIHILOBA\Backend\docs\evidence\restaurants_pilot_release\business_units_final.txt; business_browser_current.txt</x:t>
        </x:is>
      </x:c>
    </x:row>
    <x:row r="29">
      <x:c r="A29" s="1" t="inlineStr">
        <x:is>
          <x:t xml:space="preserve">2026-10-11</x:t>
        </x:is>
      </x:c>
      <x:c r="B29" s="1" t="inlineStr">
        <x:is>
          <x:t xml:space="preserve">Backend four fresh SQLite shards</x:t>
        </x:is>
      </x:c>
      <x:c r="C29" s="1" t="inlineStr">
        <x:is>
          <x:t xml:space="preserve">c91e47b66129bb0ccd7dbf243bc5df8f8889de7c</x:t>
        </x:is>
      </x:c>
      <x:c r="D29" s="1" t="inlineStr">
        <x:is>
          <x:t xml:space="preserve">1076420ad1c4b10bf31dff85a79ec35d5c132b9c</x:t>
        </x:is>
      </x:c>
      <x:c r="E29" s="1" t="inlineStr">
        <x:is>
          <x:t xml:space="preserve">aa2e075e66696604c82da027261028660989eba5</x:t>
        </x:is>
      </x:c>
      <x:c r="F29" s="1" t="inlineStr">
        <x:is>
          <x:t xml:space="preserve">A04,A18</x:t>
        </x:is>
      </x:c>
      <x:c r="G29" s="1" t="inlineStr">
        <x:is>
          <x:t xml:space="preserve">7854 pass/377 fail/1005 skip; 147 additional identities vs saved 293 baseline</x:t>
        </x:is>
      </x:c>
      <x:c r="H29" s="1" t="inlineStr">
        <x:is>
          <x:t xml:space="preserve">C:\NIHILOBA\Backend\docs\evidence\restaurants_pilot_release\backend_baseline_comparison.json; backend_failure_identity_investigation.json</x:t>
        </x:is>
      </x:c>
    </x:row>
    <x:row r="30">
      <x:c r="A30" s="1" t="inlineStr">
        <x:is>
          <x:t xml:space="preserve">2026-10-11</x:t>
        </x:is>
      </x:c>
      <x:c r="B30" s="1" t="inlineStr">
        <x:is>
          <x:t xml:space="preserve">Disposable PostgreSQL 16.15, required named databases</x:t>
        </x:is>
      </x:c>
      <x:c r="C30" s="1" t="inlineStr">
        <x:is>
          <x:t xml:space="preserve">c91e47b66129bb0ccd7dbf243bc5df8f8889de7c</x:t>
        </x:is>
      </x:c>
      <x:c r="D30" s="1" t="inlineStr">
        <x:is>
          <x:t xml:space="preserve">1076420ad1c4b10bf31dff85a79ec35d5c132b9c</x:t>
        </x:is>
      </x:c>
      <x:c r="E30" s="1" t="inlineStr">
        <x:is>
          <x:t xml:space="preserve">aa2e075e66696604c82da027261028660989eba5</x:t>
        </x:is>
      </x:c>
      <x:c r="F30" s="1" t="inlineStr">
        <x:is>
          <x:t xml:space="preserve">A06,A30</x:t>
        </x:is>
      </x:c>
      <x:c r="G30" s="1" t="inlineStr">
        <x:is>
          <x:t xml:space="preserve">Nine final groups 168 pass/2 expected skip; initial Stock 37/1 corrected to 38/38</x:t>
        </x:is>
      </x:c>
      <x:c r="H30" s="1" t="inlineStr">
        <x:is>
          <x:t xml:space="preserve">C:\NIHILOBA\Backend\docs\evidence\restaurants_pilot_release\postgres_final_groups.json; postgres_stock_worker_preparation_final.txt; postgres_maintenance_durable.txt</x:t>
        </x:is>
      </x:c>
    </x:row>
    <x:row r="31">
      <x:c r="A31" s="1" t="inlineStr">
        <x:is>
          <x:t xml:space="preserve">2026-10-11</x:t>
        </x:is>
      </x:c>
      <x:c r="B31" s="1" t="inlineStr">
        <x:is>
          <x:t xml:space="preserve">Current real Backend local HTTPS</x:t>
        </x:is>
      </x:c>
      <x:c r="C31" s="1" t="inlineStr">
        <x:is>
          <x:t xml:space="preserve">c91e47b66129bb0ccd7dbf243bc5df8f8889de7c</x:t>
        </x:is>
      </x:c>
      <x:c r="D31" s="1" t="inlineStr">
        <x:is>
          <x:t xml:space="preserve">1076420ad1c4b10bf31dff85a79ec35d5c132b9c</x:t>
        </x:is>
      </x:c>
      <x:c r="E31" s="1" t="inlineStr">
        <x:is>
          <x:t xml:space="preserve">aa2e075e66696604c82da027261028660989eba5</x:t>
        </x:is>
      </x:c>
      <x:c r="F31" s="1" t="inlineStr">
        <x:is>
          <x:t xml:space="preserve">A22,A26</x:t>
        </x:is>
      </x:c>
      <x:c r="G31" s="1" t="inlineStr">
        <x:is>
          <x:t xml:space="preserve">Website guest 20 pass, Service 3, reservation 1; Business Service/money/daily/preparation/Stock 5 separate pass</x:t>
        </x:is>
      </x:c>
      <x:c r="H31" s="1" t="inlineStr">
        <x:is>
          <x:t xml:space="preserve">C:\NIHILOBA\Backend\docs\evidence\restaurants_pilot_release\integrated_website_guest_full_final.txt; integrated_website_service.txt; integrated_business_preparation_corrected.txt; integrated_business_stock.txt</x:t>
        </x:is>
      </x:c>
    </x:row>
    <x:row r="32">
      <x:c r="A32" s="1" t="inlineStr">
        <x:is>
          <x:t xml:space="preserve">2026-10-11</x:t>
        </x:is>
      </x:c>
      <x:c r="B32" s="1" t="inlineStr">
        <x:is>
          <x:t xml:space="preserve">Local signed HTTPS guest proxy</x:t>
        </x:is>
      </x:c>
      <x:c r="C32" s="1" t="inlineStr">
        <x:is>
          <x:t xml:space="preserve">c91e47b66129bb0ccd7dbf243bc5df8f8889de7c</x:t>
        </x:is>
      </x:c>
      <x:c r="D32" s="1" t="inlineStr">
        <x:is>
          <x:t xml:space="preserve">1076420ad1c4b10bf31dff85a79ec35d5c132b9c</x:t>
        </x:is>
      </x:c>
      <x:c r="E32" s="1" t="inlineStr">
        <x:is>
          <x:t xml:space="preserve">aa2e075e66696604c82da027261028660989eba5</x:t>
        </x:is>
      </x:c>
      <x:c r="F32" s="1" t="inlineStr">
        <x:is>
          <x:t xml:space="preserve">A27,A28</x:t>
        </x:is>
      </x:c>
      <x:c r="G32" s="1" t="inlineStr">
        <x:is>
          <x:t xml:space="preserve">12 browsers admitted; same-browser 11th limited; privacy/Origin passed</x:t>
        </x:is>
      </x:c>
      <x:c r="H32" s="1" t="inlineStr">
        <x:is>
          <x:t xml:space="preserve">C:\NIHILOBA\Backend\docs\evidence\restaurants_pilot_release\https_guest_proxy_probe.txt</x:t>
        </x:is>
      </x:c>
    </x:row>
    <x:row r="33">
      <x:c r="A33" s="1" t="inlineStr">
        <x:is>
          <x:t xml:space="preserve">2026-10-11</x:t>
        </x:is>
      </x:c>
      <x:c r="B33" s="1" t="inlineStr">
        <x:is>
          <x:t xml:space="preserve">Guide/render gate and manual acceptance</x:t>
        </x:is>
      </x:c>
      <x:c r="C33" s="1" t="inlineStr">
        <x:is>
          <x:t xml:space="preserve">c91e47b66129bb0ccd7dbf243bc5df8f8889de7c</x:t>
        </x:is>
      </x:c>
      <x:c r="D33" s="1" t="inlineStr">
        <x:is>
          <x:t xml:space="preserve">1076420ad1c4b10bf31dff85a79ec35d5c132b9c</x:t>
        </x:is>
      </x:c>
      <x:c r="E33" s="1" t="inlineStr">
        <x:is>
          <x:t xml:space="preserve">aa2e075e66696604c82da027261028660989eba5</x:t>
        </x:is>
      </x:c>
      <x:c r="F33" s="1" t="inlineStr">
        <x:is>
          <x:t xml:space="preserve">A29,A31,L09-L14</x:t>
        </x:is>
      </x:c>
      <x:c r="G33" s="1" t="inlineStr">
        <x:is>
          <x:t xml:space="preserve">Original guide unchanged; every-page render unavailable; live checks not run</x:t>
        </x:is>
      </x:c>
      <x:c r="H33" s="1" t="inlineStr">
        <x:is>
          <x:t xml:space="preserve">C:\NIHILOBA\Backend\docs\evidence\restaurants_pilot_release\support_guide_review_corrected.docx; docs/todo.md</x:t>
        </x:is>
      </x:c>
    </x:row>
    <x:row r="34">
      <x:c r="A34" s="1" t="inlineStr">
        <x:is>
          <x:t xml:space="preserve">2026-10-12</x:t>
        </x:is>
      </x:c>
      <x:c r="B34" s="1" t="inlineStr">
        <x:is>
          <x:t xml:space="preserve">Backend closure: Windows Python 3.12.7 / pytest 9.0.3, eight fresh SQLite DBs; disposable loopback PostgreSQL 16.15, durability on</x:t>
        </x:is>
      </x:c>
      <x:c r="C34" s="1" t="inlineStr">
        <x:is>
          <x:t xml:space="preserve">4900233b5febf610ccfdedda84032ff41cfd4638 + uncommitted app/tests diff SHA256 04b540ee17fe0d26a81d310f202d9186356f36790357bb2cb36626dfa4744fee</x:t>
        </x:is>
      </x:c>
      <x:c r="D34" s="1" t="inlineStr">
        <x:is>
          <x:t xml:space="preserve">Website not rerun in this Backend batch</x:t>
        </x:is>
      </x:c>
      <x:c r="E34" s="1" t="inlineStr">
        <x:is>
          <x:t xml:space="preserve">Business Dashboard not rerun in this Backend batch</x:t>
        </x:is>
      </x:c>
      <x:c r="F34" s="1" t="inlineStr">
        <x:is>
          <x:t xml:space="preserve">A01,A03-A18,A30,I01</x:t>
        </x:is>
      </x:c>
      <x:c r="G34" s="1" t="inlineStr">
        <x:is>
          <x:t xml:space="preserve">Backend gate RED: 8071 passed, 173 inherited failed, 1005 skipped; original 147 additions closed; Restaurant focused 276/2; PostgreSQL 168/2; head 0150</x:t>
        </x:is>
      </x:c>
      <x:c r="H34" s="1" t="inlineStr">
        <x:is>
          <x:t xml:space="preserve">C:\NIHILOBA\Backend\docs\evidence\restaurants_pilot_release\backend_closure_final_suite.json; backend_closure_failed_nodes.txt; backend_closure_failure_causes.json; backend_closure_pg_groups.json; backend_closure_restaurant_focused.xml; backend_closure_populated_0149_to_0150.json</x:t>
        </x:is>
      </x:c>
    </x:row>
    <x:row r="35">
      <x:c r="A35" s="1" t="inlineStr">
        <x:is>
          <x:t xml:space="preserve">2026-10-12</x:t>
        </x:is>
      </x:c>
      <x:c r="B35" s="1" t="inlineStr">
        <x:is>
          <x:t xml:space="preserve">Backend Restaurant closure: eight fresh SQLite databases; disposable PostgreSQL 16 at head 0150</x:t>
        </x:is>
      </x:c>
      <x:c r="C35" s="1" t="inlineStr">
        <x:is>
          <x:t xml:space="preserve">d6c5fbbe6aa541d651e266f77fc4b99e3b81efb2 + uncommitted app/tests diff SHA256 a50adbd6bde7ae24384788dedf4c69890bd8ab1a4a4c103291b9dcfbc0ff765c</x:t>
        </x:is>
      </x:c>
      <x:c r="D35" s="1" t="inlineStr">
        <x:is>
          <x:t xml:space="preserve">Website not rerun in this Backend batch</x:t>
        </x:is>
      </x:c>
      <x:c r="E35" s="1" t="inlineStr">
        <x:is>
          <x:t xml:space="preserve">Business Dashboard not rerun in this Backend batch</x:t>
        </x:is>
      </x:c>
      <x:c r="F35" s="1" t="inlineStr">
        <x:is>
          <x:t xml:space="preserve">A01,A04-A17,I01</x:t>
        </x:is>
      </x:c>
      <x:c r="G35" s="1" t="inlineStr">
        <x:is>
          <x:t xml:space="preserve">Backend gate RED: 8076 pass/168 fail/1005 skip; six Restaurant IDs resolved; one new intermittent shared security ID; nine PG groups 168 pass/0 fail/2 skip</x:t>
        </x:is>
      </x:c>
      <x:c r="H35" s="1" t="inlineStr">
        <x:is>
          <x:t xml:space="preserve">C:\NIHILOBA\Backend\docs\evidence\restaurants_pilot_release\restaurant_batch_full_suite.json; restaurant_batch_pg_groups.json; restaurant_six_before.xml; restaurant_six_after.xml; restaurant_three_files.xml; restaurant_related.xml; restaurant_batch_intermit_ra003.xml; restaurant_batch_tracker_readback.txt</x:t>
        </x:is>
      </x:c>
    </x:row>
    <x:row r="36" ht="90" customHeight="1">
      <x:c r="A36" s="1" t="inlineStr">
        <x:is>
          <x:t xml:space="preserve">2026-10-12</x:t>
        </x:is>
      </x:c>
      <x:c r="B36" s="1" t="inlineStr">
        <x:is>
          <x:t xml:space="preserve">Disposable SQLite/PostgreSQL and local production-build browsers; no live services</x:t>
        </x:is>
      </x:c>
      <x:c r="C36" s="1" t="inlineStr">
        <x:is>
          <x:t xml:space="preserve">9bb7b2d024f2c10e0a9167ac8ebdb99cb65fec2c</x:t>
        </x:is>
      </x:c>
      <x:c r="D36" s="1" t="inlineStr">
        <x:is>
          <x:t xml:space="preserve">8c7f29351ca79f15169cf717279a9da586eda7e3</x:t>
        </x:is>
      </x:c>
      <x:c r="E36" s="1" t="inlineStr">
        <x:is>
          <x:t xml:space="preserve">be7e6abe99f37cdd05029f48d574eba8956e93f3</x:t>
        </x:is>
      </x:c>
      <x:c r="F36" s="1" t="inlineStr">
        <x:is>
          <x:t xml:space="preserve">P01 onward; I12; historical A04 remains Fail</x:t>
        </x:is>
      </x:c>
      <x:c r="G36" s="1" t="inlineStr">
        <x:is>
          <x:t xml:space="preserve">Restaurant pilot automated gate: Pass; historical full suites not rerun</x:t>
        </x:is>
      </x:c>
      <x:c r="H36" s="1" t="inlineStr">
        <x:is>
          <x:t xml:space="preserve">C:\NIHILOBA\Backend\docs\evidence\restaurant_pilot_gate\results.json</x:t>
        </x:is>
      </x:c>
    </x:row>
    <x:row r="37" ht="84" customHeight="1">
      <x:c r="A37" s="28" t="inlineStr">
        <x:is>
          <x:t xml:space="preserve">2026-10-12</x:t>
        </x:is>
      </x:c>
      <x:c r="B37" s="28" t="inlineStr">
        <x:is>
          <x:t xml:space="preserve">Fresh isolated SQLite; mocked Meta boundary</x:t>
        </x:is>
      </x:c>
      <x:c r="C37" s="28" t="inlineStr">
        <x:is>
          <x:t xml:space="preserve">f9768b5b2e710f8d03482407e4a200d0c2c4cdd6 + uncommitted WhatsApp fixes</x:t>
        </x:is>
      </x:c>
      <x:c r="D37" s="28" t="inlineStr">
        <x:is>
          <x:t xml:space="preserve">Not changed</x:t>
        </x:is>
      </x:c>
      <x:c r="E37" s="28" t="inlineStr">
        <x:is>
          <x:t xml:space="preserve">Not changed</x:t>
        </x:is>
      </x:c>
      <x:c r="F37" s="28" t="inlineStr">
        <x:is>
          <x:t xml:space="preserve">A29 / I04</x:t>
        </x:is>
      </x:c>
      <x:c r="G37" s="28" t="inlineStr">
        <x:is>
          <x:t xml:space="preserve">Scoped backend checks; live gate stays blocked</x:t>
        </x:is>
      </x:c>
      <x:c r="H37" s="28" t="inlineStr">
        <x:is>
          <x:t xml:space="preserve">Backend/docs/evidence/restaurants_whatsapp_2026_10_12/manifest.json; full handoff: restaurants_whatsapp_journey_2026-10-12.md. No deploy or intake change.</x:t>
        </x:is>
      </x:c>
    </x:row>
    <x:row r="38" ht="84" customHeight="1">
      <x:c r="A38" s="28" t="inlineStr">
        <x:is>
          <x:t xml:space="preserve">2026-10-12</x:t>
        </x:is>
      </x:c>
      <x:c r="B38" s="28" t="inlineStr">
        <x:is>
          <x:t xml:space="preserve">Optional Restaurant photos; isolated SQLite and durable PostgreSQL</x:t>
        </x:is>
      </x:c>
      <x:c r="C38" s="28" t="inlineStr">
        <x:is>
          <x:t xml:space="preserve">Backend local working tree; additive head 0151</x:t>
        </x:is>
      </x:c>
      <x:c r="D38" s="28" t="inlineStr">
        <x:is>
          <x:t xml:space="preserve">Personal photo editor and responsive customer pages implemented locally. Website docs/restaurants-mobile-photos.md records checks and screenshots.</x:t>
        </x:is>
      </x:c>
      <x:c r="E38" s="28" t="inlineStr">
        <x:is>
          <x:t xml:space="preserve">Organization photo editor follow-up pending at business.nihiloba.com.</x:t>
        </x:is>
      </x:c>
      <x:c r="F38" s="28" t="inlineStr">
        <x:is>
          <x:t xml:space="preserve">A29 / A30 / I04</x:t>
        </x:is>
      </x:c>
      <x:c r="G38" s="28" t="inlineStr">
        <x:is>
          <x:t xml:space="preserve">Local validation only; live gate remains blocked</x:t>
        </x:is>
      </x:c>
      <x:c r="H38" s="28" t="inlineStr">
        <x:is>
          <x:t xml:space="preserve">Backend/docs/restaurants_photo_contract.md; restaurants_photo_implementation.md; Website/docs/restaurants-mobile-photos.md and evidence/restaurants-mobile-photos/validation.json.</x:t>
        </x:is>
      </x:c>
    </x:row>
    <x:row r="39" ht="80" customHeight="1">
      <x:c r="A39" s="28" t="inlineStr">
        <x:is>
          <x:t xml:space="preserve">2026-10-13</x:t>
        </x:is>
      </x:c>
      <x:c r="B39" s="28" t="inlineStr">
        <x:is>
          <x:t xml:space="preserve">Restaurant management redesign</x:t>
        </x:is>
      </x:c>
      <x:c r="C39" s="28" t="inlineStr">
        <x:is>
          <x:t xml:space="preserve">Backend local working tree; no migration</x:t>
        </x:is>
      </x:c>
      <x:c r="D39" s="28" t="inlineStr">
        <x:is>
          <x:t xml:space="preserve">Personal seller shell / Orders entry / contextual photos</x:t>
        </x:is>
      </x:c>
      <x:c r="E39" s="28" t="inlineStr">
        <x:is>
          <x:t xml:space="preserve">Business Restaurant navigation only</x:t>
        </x:is>
      </x:c>
      <x:c r="F39" s="28" t="inlineStr">
        <x:is>
          <x:t xml:space="preserve">MGT01</x:t>
        </x:is>
      </x:c>
      <x:c r="G39" s="28" t="inlineStr">
        <x:is>
          <x:t xml:space="preserve">Local implementation and validation; release remains gated</x:t>
        </x:is>
      </x:c>
      <x:c r="H39" s="28" t="inlineStr">
        <x:is>
          <x:t xml:space="preserve">Website/docs/restaurants-management-2026-10-13.md</x:t>
        </x:is>
      </x:c>
    </x:row>
  </x:sheetData>
  <x:pageMargins left="0.7" right="0.7" top="0.75" bottom="0.75" header="0.3" footer="0.3"/>
</x:worksheet>
</file>