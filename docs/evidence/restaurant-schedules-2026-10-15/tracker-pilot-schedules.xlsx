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cb9271d51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tracker" sheetId="1" r:id="Rc2e9c5cd50b24bd5"/>
    <x:sheet xmlns:r="http://schemas.openxmlformats.org/officeDocument/2006/relationships" name="Roadmap" sheetId="2" r:id="Ra9983249c9b743c7"/>
    <x:sheet xmlns:r="http://schemas.openxmlformats.org/officeDocument/2006/relationships" name="Batch log" sheetId="3" r:id="Re76d5dcf19864396"/>
    <x:sheet xmlns:r="http://schemas.openxmlformats.org/officeDocument/2006/relationships" name="Evidence" sheetId="4" r:id="Rf3341d5685af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 hh:mm"/>
    <x:numFmt numFmtId="201" formatCode="0.0"/>
    <x:numFmt numFmtId="202" formatCode="yyyy-mm-dd"/>
  </x:numFmts>
  <x:fonts count="10">
    <x:font>
      <x:sz val="11"/>
      <x:name val="Carlito"/>
    </x:font>
    <x:font>
      <x:sz val="10"/>
      <x:color rgb="FF1C2933"/>
      <x:name val="Arial"/>
    </x:font>
    <x:font>
      <x:b/>
      <x:sz val="15"/>
      <x:color rgb="FF17324D"/>
      <x:name val="Arial"/>
    </x:font>
    <x:font>
      <x:i/>
      <x:sz val="10"/>
      <x:color rgb="FF526579"/>
      <x:name val="Arial"/>
    </x:font>
    <x:font>
      <x:b/>
      <x:sz val="10"/>
      <x:color rgb="FF17324D"/>
      <x:name val="Arial"/>
    </x:font>
    <x:font>
      <x:i/>
      <x:sz val="10"/>
      <x:color rgb="FF8A5700"/>
      <x:name val="Arial"/>
    </x:font>
    <x:font>
      <x:i/>
      <x:sz val="10"/>
      <x:color rgb="FF9C3D21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b/>
      <x:sz val="12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BD"/>
      </x:patternFill>
    </x:fill>
    <x:fill>
      <x:patternFill patternType="solid">
        <x:fgColor rgb="FFE9F1F6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0B1F32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3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f xmlns="http://schemas.openxmlformats.org/spreadsheetml/2006/main" numFmtId="0" fontId="1" fillId="0" borderId="0" xfId="0" applyNumberFormat="1" applyFont="1" applyFill="1" applyBorder="1" applyAlignment="1">
      <alignment wrapText="1" vertical="center"/>
    </xf>
    <xf xmlns="http://schemas.openxmlformats.org/spreadsheetml/2006/main" numFmtId="0" fontId="1" fillId="0" borderId="0" xfId="0" applyNumberFormat="1" applyFont="1" applyFill="1" applyBorder="1" applyAlignment="1">
      <alignment wrapText="1" vertical="center"/>
    </xf>
    <xf xmlns="http://schemas.openxmlformats.org/spreadsheetml/2006/main" numFmtId="202" fontId="1" fillId="0" borderId="0" xfId="0" applyNumberFormat="1" applyFont="1" applyFill="1" applyBorder="1" applyAlignment="1">
      <alignment wrapText="1" vertical="center"/>
    </xf>
  </x:cellXfs>
  <x:cellStyles count="1">
    <x:cellStyle name="Normal" xfId="0"/>
  </x:cellStyles>
  <x:dxfs count="6">
    <x:dxf>
      <x:font>
        <x:b/>
        <x:color rgb="FF12623B"/>
      </x:font>
      <x:fill>
        <x:patternFill patternType="solid">
          <x:bgColor rgb="FFDCF2E6"/>
        </x:patternFill>
      </x:fill>
    </x:dxf>
    <x:dxf>
      <x:font>
        <x:b/>
        <x:color rgb="FF145078"/>
      </x:font>
      <x:fill>
        <x:patternFill patternType="solid">
          <x:bgColor rgb="FFDDECF9"/>
        </x:patternFill>
      </x:fill>
    </x:dxf>
    <x:dxf>
      <x:font>
        <x:b/>
        <x:color rgb="FF835900"/>
      </x:font>
      <x:fill>
        <x:patternFill patternType="solid">
          <x:bgColor rgb="FFFFF0BD"/>
        </x:patternFill>
      </x:fill>
    </x:dxf>
    <x:dxf>
      <x:font>
        <x:b/>
        <x:color rgb="FFA12E2A"/>
      </x:font>
      <x:fill>
        <x:patternFill patternType="solid">
          <x:bgColor rgb="FFF9DDDC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3492b46534566" /><Relationship Type="http://schemas.openxmlformats.org/officeDocument/2006/relationships/theme" Target="/xl/theme/theme1.xml" Id="Rd15b1c6142514b78" /><Relationship Type="http://schemas.openxmlformats.org/officeDocument/2006/relationships/sharedStrings" Target="/xl/sharedStrings.xml" Id="R7fd446d1e4234c1e" /><Relationship Type="http://schemas.openxmlformats.org/officeDocument/2006/relationships/worksheet" Target="/xl/worksheets/sheet1.xml" Id="Rc2e9c5cd50b24bd5" /><Relationship Type="http://schemas.openxmlformats.org/officeDocument/2006/relationships/worksheet" Target="/xl/worksheets/sheet2.xml" Id="Ra9983249c9b743c7" /><Relationship Type="http://schemas.openxmlformats.org/officeDocument/2006/relationships/worksheet" Target="/xl/worksheets/sheet3.xml" Id="Re76d5dcf19864396" /><Relationship Type="http://schemas.openxmlformats.org/officeDocument/2006/relationships/worksheet" Target="/xl/worksheets/sheet4.xml" Id="Rf3341d5685af4738" /></Relationships>
</file>

<file path=xl/tables/table1.xml><?xml version="1.0" encoding="utf-8"?>
<x:table xmlns:x="http://schemas.openxmlformats.org/spreadsheetml/2006/main" id="1" name="PilotWorkItems" displayName="PilotWorkItems" ref="A10:I38" headerRowCount="1" totalsRowCount="0" totalsRowShown="0">
  <x:tableColumns count="9">
    <x:tableColumn id="1" name="ID"/>
    <x:tableColumn id="2" name="Deliverable"/>
    <x:tableColumn id="3" name="Repository"/>
    <x:tableColumn id="4" name="In scope?"/>
    <x:tableColumn id="5" name="Status"/>
    <x:tableColumn id="6" name="Depends on"/>
    <x:tableColumn id="7" name="Next action / limit"/>
    <x:tableColumn id="8" name="Evidence"/>
    <x:tableColumn id="9" name="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832afd751a493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24" hidden="0" customWidth="1"/>
    <x:col min="4" max="4" width="10" hidden="0" customWidth="1"/>
    <x:col min="5" max="5" width="19" hidden="0" customWidth="1"/>
    <x:col min="6" max="6" width="16" hidden="0" customWidth="1"/>
    <x:col min="7" max="7" width="54" hidden="0" customWidth="1"/>
    <x:col min="8" max="8" width="12" hidden="0" customWidth="1"/>
    <x:col min="9" max="9" width="16" hidden="0" customWidth="1"/>
  </x:cols>
  <x:sheetData>
    <x:row r="2">
      <x:c r="A2" s="2" t="str">
        <x:v>SHIDA Restaurants &amp; Malewa — implementation tracker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3" t="str">
        <x:v>As of</x:v>
      </x:c>
      <x:c r="B3" s="6" t="n">
        <x:v>46306.68472222222</x:v>
      </x:c>
      <x:c r="C3" s="3"/>
      <x:c r="D3" s="3" t="str">
        <x:v>Core target</x:v>
      </x:c>
      <x:c r="E3" s="6" t="n">
        <x:v>46305.75</x:v>
      </x:c>
      <x:c r="F3" s="3" t="str">
        <x:v>Original 18-item target; Stockholm time</x:v>
      </x:c>
      <x:c r="G3" s="3"/>
      <x:c r="H3" s="3"/>
      <x:c r="I3" s="3"/>
    </x:row>
    <x:row r="4" ht="25" customHeight="1">
      <x:c r="A4" s="7" t="str">
        <x:v>Core pilot items 01–18 and founder-requested extras 19–21 are implemented locally; release checks and deployment remain separate.</x:v>
      </x:c>
      <x:c r="B4" s="7"/>
      <x:c r="C4" s="7"/>
      <x:c r="D4" s="7"/>
      <x:c r="E4" s="7"/>
      <x:c r="F4" s="7"/>
      <x:c r="G4" s="7"/>
      <x:c r="H4" s="7"/>
      <x:c r="I4" s="7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5" customHeight="1">
      <x:c r="A6" s="8" t="str">
        <x:v>Needed</x:v>
      </x:c>
      <x:c r="B6" s="10" t="n">
        <x:f>COUNTIF(D11:D38,"Yes")</x:f>
        <x:v>21</x:v>
      </x:c>
      <x:c r="C6" s="8"/>
      <x:c r="D6" s="8" t="str">
        <x:v>Done</x:v>
      </x:c>
      <x:c r="E6" s="10" t="n">
        <x:f>COUNTIFS(D11:D38,"Yes",E11:E38,"Implemented")</x:f>
        <x:v>21</x:v>
      </x:c>
      <x:c r="F6" s="8"/>
      <x:c r="G6" s="8" t="str">
        <x:v>Open</x:v>
      </x:c>
      <x:c r="H6" s="10" t="n">
        <x:f>B6-E6</x:f>
        <x:v>0</x:v>
      </x:c>
      <x:c r="I6" s="3"/>
    </x:row>
    <x:row r="7" ht="25" customHeight="1">
      <x:c r="A7" s="8" t="str">
        <x:v>Hours</x:v>
      </x:c>
      <x:c r="B7" s="11" t="n">
        <x:f>MAX(0,(E3-B3)*24)</x:f>
        <x:v>0</x:v>
      </x:c>
      <x:c r="C7" s="8"/>
      <x:c r="D7" s="8" t="str">
        <x:v>State</x:v>
      </x:c>
      <x:c r="E7" s="10" t="str">
        <x:f>IF(H6=0,"Expanded scope implemented","Expanded scope in progress")</x:f>
        <x:v>Expanded scope implemented</x:v>
      </x:c>
      <x:c r="F7" s="8"/>
      <x:c r="G7" s="8"/>
      <x:c r="H7" s="8"/>
      <x:c r="I7" s="3"/>
    </x:row>
    <x:row r="8" ht="25" customHeight="1">
      <x:c r="A8" s="12" t="str">
        <x:f>IF(H6=0,"Expanded implementation complete; release checks remain.","Core pilot implemented; the requested extra items remain in progress.")</x:f>
        <x:v>Expanded implementation complete; release checks remain.</x:v>
      </x:c>
      <x:c r="B8" s="12"/>
      <x:c r="C8" s="12"/>
      <x:c r="D8" s="12"/>
      <x:c r="E8" s="12"/>
      <x:c r="F8" s="12"/>
      <x:c r="G8" s="12"/>
      <x:c r="H8" s="12"/>
      <x:c r="I8" s="12"/>
    </x:row>
    <x:row r="9" ht="25" customHeight="1">
      <x:c r="A9" s="13" t="str">
        <x:v>Release checks remain: no final green Backend full run through 0148; live PostgreSQL reservations, device/WhatsApp acceptance and deployment pending.</x:v>
      </x:c>
      <x:c r="B9" s="13"/>
      <x:c r="C9" s="13"/>
      <x:c r="D9" s="13"/>
      <x:c r="E9" s="13"/>
      <x:c r="F9" s="13"/>
      <x:c r="G9" s="13"/>
      <x:c r="H9" s="13"/>
      <x:c r="I9" s="13"/>
    </x:row>
    <x:row r="10" ht="30" customHeight="1">
      <x:c r="A10" s="18" t="str">
        <x:v>ID</x:v>
      </x:c>
      <x:c r="B10" s="18" t="str">
        <x:v>Deliverable</x:v>
      </x:c>
      <x:c r="C10" s="18" t="str">
        <x:v>Repository</x:v>
      </x:c>
      <x:c r="D10" s="18" t="str">
        <x:v>In scope?</x:v>
      </x:c>
      <x:c r="E10" s="18" t="str">
        <x:v>Status</x:v>
      </x:c>
      <x:c r="F10" s="18" t="str">
        <x:v>Depends on</x:v>
      </x:c>
      <x:c r="G10" s="18" t="str">
        <x:v>Next action / limit</x:v>
      </x:c>
      <x:c r="H10" s="18" t="str">
        <x:v>Evidence</x:v>
      </x:c>
      <x:c r="I10" s="18" t="str">
        <x:v>Updated</x:v>
      </x:c>
    </x:row>
    <x:row r="11" ht="38" customHeight="1">
      <x:c r="A11" s="3" t="str">
        <x:v>01</x:v>
      </x:c>
      <x:c r="B11" s="17" t="str">
        <x:v>Public restaurant page, menu and general QR</x:v>
      </x:c>
      <x:c r="C11" s="17" t="str">
        <x:v>Backend + both frontends</x:v>
      </x:c>
      <x:c r="D11" s="17" t="str">
        <x:v>Yes</x:v>
      </x:c>
      <x:c r="E11" s="17" t="str">
        <x:v>Implemented</x:v>
      </x:c>
      <x:c r="F11" s="17" t="str">
        <x:v>—</x:v>
      </x:c>
      <x:c r="G11" s="17" t="str">
        <x:v>Maintain existing Free access</x:v>
      </x:c>
      <x:c r="H11" s="3" t="str">
        <x:v>S1</x:v>
      </x:c>
      <x:c r="I11" s="19" t="n">
        <x:v>46305</x:v>
      </x:c>
    </x:row>
    <x:row r="12" ht="38" customHeight="1">
      <x:c r="A12" s="3" t="str">
        <x:v>02</x:v>
      </x:c>
      <x:c r="B12" s="17" t="str">
        <x:v>Guest private visits and repeat rounds</x:v>
      </x:c>
      <x:c r="C12" s="17" t="str">
        <x:v>Backend</x:v>
      </x:c>
      <x:c r="D12" s="17" t="str">
        <x:v>Yes</x:v>
      </x:c>
      <x:c r="E12" s="17" t="str">
        <x:v>Implemented</x:v>
      </x:c>
      <x:c r="F12" s="17" t="str">
        <x:v>01</x:v>
      </x:c>
      <x:c r="G12" s="17" t="str">
        <x:v>Preserve separate immutable orders</x:v>
      </x:c>
      <x:c r="H12" s="3" t="str">
        <x:v>S2</x:v>
      </x:c>
      <x:c r="I12" s="19" t="n">
        <x:v>46305</x:v>
      </x:c>
    </x:row>
    <x:row r="13" ht="38" customHeight="1">
      <x:c r="A13" s="3" t="str">
        <x:v>03</x:v>
      </x:c>
      <x:c r="B13" s="17" t="str">
        <x:v>Guest QR ordering page and pickup proof</x:v>
      </x:c>
      <x:c r="C13" s="17" t="str">
        <x:v>NIHILOBA</x:v>
      </x:c>
      <x:c r="D13" s="17" t="str">
        <x:v>Yes</x:v>
      </x:c>
      <x:c r="E13" s="17" t="str">
        <x:v>Implemented</x:v>
      </x:c>
      <x:c r="F13" s="17" t="str">
        <x:v>02</x:v>
      </x:c>
      <x:c r="G13" s="17" t="str">
        <x:v>Keep private cookie and ready-only code</x:v>
      </x:c>
      <x:c r="H13" s="3" t="str">
        <x:v>S3</x:v>
      </x:c>
      <x:c r="I13" s="19" t="n">
        <x:v>46305</x:v>
      </x:c>
    </x:row>
    <x:row r="14" ht="38" customHeight="1">
      <x:c r="A14" s="3" t="str">
        <x:v>04</x:v>
      </x:c>
      <x:c r="B14" s="17" t="str">
        <x:v>Owner POS, Kitchen and numerical stock</x:v>
      </x:c>
      <x:c r="C14" s="17" t="str">
        <x:v>Backend + both frontends</x:v>
      </x:c>
      <x:c r="D14" s="17" t="str">
        <x:v>Yes</x:v>
      </x:c>
      <x:c r="E14" s="17" t="str">
        <x:v>Implemented</x:v>
      </x:c>
      <x:c r="F14" s="17" t="str">
        <x:v>01</x:v>
      </x:c>
      <x:c r="G14" s="17" t="str">
        <x:v>Retain immediate counter sale path</x:v>
      </x:c>
      <x:c r="H14" s="3" t="str">
        <x:v>S4, S11, S12</x:v>
      </x:c>
      <x:c r="I14" s="19" t="n">
        <x:v>46305</x:v>
      </x:c>
    </x:row>
    <x:row r="15" ht="38" customHeight="1">
      <x:c r="A15" s="3" t="str">
        <x:v>05</x:v>
      </x:c>
      <x:c r="B15" s="17" t="str">
        <x:v>Assigned Kitchen for customer orders</x:v>
      </x:c>
      <x:c r="C15" s="17" t="str">
        <x:v>Backend + Business</x:v>
      </x:c>
      <x:c r="D15" s="17" t="str">
        <x:v>Yes</x:v>
      </x:c>
      <x:c r="E15" s="17" t="str">
        <x:v>Implemented</x:v>
      </x:c>
      <x:c r="F15" s="17" t="str">
        <x:v>04</x:v>
      </x:c>
      <x:c r="G15" s="17" t="str">
        <x:v>Assisted orders now covered by 10B3</x:v>
      </x:c>
      <x:c r="H15" s="3" t="str">
        <x:v>S5, S15</x:v>
      </x:c>
      <x:c r="I15" s="19" t="n">
        <x:v>46305</x:v>
      </x:c>
    </x:row>
    <x:row r="16" ht="38" customHeight="1">
      <x:c r="A16" s="3" t="str">
        <x:v>06</x:v>
      </x:c>
      <x:c r="B16" s="17" t="str">
        <x:v>Prepared assisted order foundation</x:v>
      </x:c>
      <x:c r="C16" s="17" t="str">
        <x:v>Backend</x:v>
      </x:c>
      <x:c r="D16" s="17" t="str">
        <x:v>Yes</x:v>
      </x:c>
      <x:c r="E16" s="17" t="str">
        <x:v>Implemented</x:v>
      </x:c>
      <x:c r="F16" s="17" t="str">
        <x:v>04</x:v>
      </x:c>
      <x:c r="G16" s="17" t="str">
        <x:v>Use accepted-to-ready lifecycle</x:v>
      </x:c>
      <x:c r="H16" s="3" t="str">
        <x:v>S6</x:v>
      </x:c>
      <x:c r="I16" s="19" t="n">
        <x:v>46305</x:v>
      </x:c>
    </x:row>
    <x:row r="17" ht="38" customHeight="1">
      <x:c r="A17" s="3" t="str">
        <x:v>07</x:v>
      </x:c>
      <x:c r="B17" s="17" t="str">
        <x:v>Service grants, groups and guest consent API</x:v>
      </x:c>
      <x:c r="C17" s="17" t="str">
        <x:v>Backend</x:v>
      </x:c>
      <x:c r="D17" s="17" t="str">
        <x:v>Yes</x:v>
      </x:c>
      <x:c r="E17" s="17" t="str">
        <x:v>Implemented</x:v>
      </x:c>
      <x:c r="F17" s="17" t="str">
        <x:v>06</x:v>
      </x:c>
      <x:c r="G17" s="17" t="str">
        <x:v>Keep grants exact to establishment</x:v>
      </x:c>
      <x:c r="H17" s="3" t="str">
        <x:v>S7</x:v>
      </x:c>
      <x:c r="I17" s="19" t="n">
        <x:v>46305</x:v>
      </x:c>
    </x:row>
    <x:row r="18" ht="38" customHeight="1">
      <x:c r="A18" s="3" t="str">
        <x:v>08</x:v>
      </x:c>
      <x:c r="B18" s="17" t="str">
        <x:v>Waiter Service screen and guest approval</x:v>
      </x:c>
      <x:c r="C18" s="17" t="str">
        <x:v>Business + NIHILOBA</x:v>
      </x:c>
      <x:c r="D18" s="17" t="str">
        <x:v>Yes</x:v>
      </x:c>
      <x:c r="E18" s="17" t="str">
        <x:v>Implemented</x:v>
      </x:c>
      <x:c r="F18" s="17" t="str">
        <x:v>07</x:v>
      </x:c>
      <x:c r="G18" s="17" t="str">
        <x:v>Checkout now integrated in 10F3</x:v>
      </x:c>
      <x:c r="H18" s="3" t="str">
        <x:v>S8, S10, S23, S24</x:v>
      </x:c>
      <x:c r="I18" s="19" t="n">
        <x:v>46305</x:v>
      </x:c>
    </x:row>
    <x:row r="19" ht="38" customHeight="1">
      <x:c r="A19" s="3" t="str">
        <x:v>09</x:v>
      </x:c>
      <x:c r="B19" s="17" t="str">
        <x:v>10B3 Kitchen + Bar routing and worker APIs</x:v>
      </x:c>
      <x:c r="C19" s="17" t="str">
        <x:v>Backend</x:v>
      </x:c>
      <x:c r="D19" s="17" t="str">
        <x:v>Yes</x:v>
      </x:c>
      <x:c r="E19" s="17" t="str">
        <x:v>Implemented</x:v>
      </x:c>
      <x:c r="F19" s="17" t="str">
        <x:v>06, 07</x:v>
      </x:c>
      <x:c r="G19" s="17" t="str">
        <x:v>0141 is in current 0145 migration lineage</x:v>
      </x:c>
      <x:c r="H19" s="3" t="str">
        <x:v>S15, S18, S25</x:v>
      </x:c>
      <x:c r="I19" s="19" t="n">
        <x:v>46305</x:v>
      </x:c>
    </x:row>
    <x:row r="20" ht="38" customHeight="1">
      <x:c r="A20" s="3" t="str">
        <x:v>10</x:v>
      </x:c>
      <x:c r="B20" s="17" t="str">
        <x:v>10F2 Kitchen + Bar staff screens</x:v>
      </x:c>
      <x:c r="C20" s="17" t="str">
        <x:v>Business + NIHILOBA</x:v>
      </x:c>
      <x:c r="D20" s="17" t="str">
        <x:v>Yes</x:v>
      </x:c>
      <x:c r="E20" s="17" t="str">
        <x:v>Implemented</x:v>
      </x:c>
      <x:c r="F20" s="17" t="str">
        <x:v>09</x:v>
      </x:c>
      <x:c r="G20" s="17" t="str">
        <x:v>Revalidate with 0145 Backend before rollout</x:v>
      </x:c>
      <x:c r="H20" s="3" t="str">
        <x:v>S16, S17, S25</x:v>
      </x:c>
      <x:c r="I20" s="19" t="n">
        <x:v>46305</x:v>
      </x:c>
    </x:row>
    <x:row r="21" ht="38" customHeight="1">
      <x:c r="A21" s="3" t="str">
        <x:v>11</x:v>
      </x:c>
      <x:c r="B21" s="17" t="str">
        <x:v>10B4 delegated stock operations</x:v>
      </x:c>
      <x:c r="C21" s="17" t="str">
        <x:v>Backend</x:v>
      </x:c>
      <x:c r="D21" s="17" t="str">
        <x:v>Yes</x:v>
      </x:c>
      <x:c r="E21" s="17" t="str">
        <x:v>Implemented</x:v>
      </x:c>
      <x:c r="F21" s="17" t="str">
        <x:v>04</x:v>
      </x:c>
      <x:c r="G21" s="17" t="str">
        <x:v>0142 is in current 0145 migration lineage</x:v>
      </x:c>
      <x:c r="H21" s="3" t="str">
        <x:v>S18, S19, S25</x:v>
      </x:c>
      <x:c r="I21" s="19" t="n">
        <x:v>46305</x:v>
      </x:c>
    </x:row>
    <x:row r="22" ht="38" customHeight="1">
      <x:c r="A22" s="3" t="str">
        <x:v>12</x:v>
      </x:c>
      <x:c r="B22" s="17" t="str">
        <x:v>10B4 staff Stock screen</x:v>
      </x:c>
      <x:c r="C22" s="17" t="str">
        <x:v>Business</x:v>
      </x:c>
      <x:c r="D22" s="17" t="str">
        <x:v>Yes</x:v>
      </x:c>
      <x:c r="E22" s="17" t="str">
        <x:v>Implemented</x:v>
      </x:c>
      <x:c r="F22" s="17" t="str">
        <x:v>11</x:v>
      </x:c>
      <x:c r="G22" s="17" t="str">
        <x:v>Coordinate rollout with 0145 Backend</x:v>
      </x:c>
      <x:c r="H22" s="3" t="str">
        <x:v>S19, S25</x:v>
      </x:c>
      <x:c r="I22" s="19" t="n">
        <x:v>46305</x:v>
      </x:c>
    </x:row>
    <x:row r="23" ht="38" customHeight="1">
      <x:c r="A23" s="3" t="str">
        <x:v>13</x:v>
      </x:c>
      <x:c r="B23" s="17" t="str">
        <x:v>10B5a payment methods and money records</x:v>
      </x:c>
      <x:c r="C23" s="17" t="str">
        <x:v>Backend</x:v>
      </x:c>
      <x:c r="D23" s="17" t="str">
        <x:v>Yes</x:v>
      </x:c>
      <x:c r="E23" s="17" t="str">
        <x:v>Implemented</x:v>
      </x:c>
      <x:c r="F23" s="17" t="str">
        <x:v>07</x:v>
      </x:c>
      <x:c r="G23" s="17" t="str">
        <x:v>Used by 10F3 Service checkout</x:v>
      </x:c>
      <x:c r="H23" s="3" t="str">
        <x:v>S20, S21, S23, S24</x:v>
      </x:c>
      <x:c r="I23" s="19" t="n">
        <x:v>46305</x:v>
      </x:c>
    </x:row>
    <x:row r="24" ht="38" customHeight="1">
      <x:c r="A24" s="3" t="str">
        <x:v>14</x:v>
      </x:c>
      <x:c r="B24" s="17" t="str">
        <x:v>10B5b payment receipt and recovery APIs</x:v>
      </x:c>
      <x:c r="C24" s="17" t="str">
        <x:v>Backend</x:v>
      </x:c>
      <x:c r="D24" s="17" t="str">
        <x:v>Yes</x:v>
      </x:c>
      <x:c r="E24" s="17" t="str">
        <x:v>Implemented</x:v>
      </x:c>
      <x:c r="F24" s="17" t="str">
        <x:v>13</x:v>
      </x:c>
      <x:c r="G24" s="17" t="str">
        <x:v>Used by Service checkout and private guest summary</x:v>
      </x:c>
      <x:c r="H24" s="3" t="str">
        <x:v>S21, S23, S24</x:v>
      </x:c>
      <x:c r="I24" s="19" t="n">
        <x:v>46305</x:v>
      </x:c>
    </x:row>
    <x:row r="25" ht="38" customHeight="1">
      <x:c r="A25" s="3" t="str">
        <x:v>15</x:v>
      </x:c>
      <x:c r="B25" s="17" t="str">
        <x:v>10F3 checkout in the same Service screen</x:v>
      </x:c>
      <x:c r="C25" s="17" t="str">
        <x:v>Business + NIHILOBA</x:v>
      </x:c>
      <x:c r="D25" s="17" t="str">
        <x:v>Yes</x:v>
      </x:c>
      <x:c r="E25" s="17" t="str">
        <x:v>Implemented</x:v>
      </x:c>
      <x:c r="F25" s="17" t="str">
        <x:v>14</x:v>
      </x:c>
      <x:c r="G25" s="17" t="str">
        <x:v>Release-environment mixed-currency, refund, stale-write and phone acceptance remains</x:v>
      </x:c>
      <x:c r="H25" s="3" t="str">
        <x:v>S23, S24</x:v>
      </x:c>
      <x:c r="I25" s="19" t="n">
        <x:v>46305</x:v>
      </x:c>
    </x:row>
    <x:row r="26" ht="38" customHeight="1">
      <x:c r="A26" s="3" t="str">
        <x:v>16</x:v>
      </x:c>
      <x:c r="B26" s="17" t="str">
        <x:v>10B6a expenses and cash movements</x:v>
      </x:c>
      <x:c r="C26" s="17" t="str">
        <x:v>Backend</x:v>
      </x:c>
      <x:c r="D26" s="17" t="str">
        <x:v>Yes</x:v>
      </x:c>
      <x:c r="E26" s="17" t="str">
        <x:v>Implemented</x:v>
      </x:c>
      <x:c r="F26" s="17" t="str">
        <x:v>13</x:v>
      </x:c>
      <x:c r="G26" s="17" t="str">
        <x:v>Journal feeds implemented 10B6b daily close</x:v>
      </x:c>
      <x:c r="H26" s="3" t="str">
        <x:v>S22, S25</x:v>
      </x:c>
      <x:c r="I26" s="19" t="n">
        <x:v>46305</x:v>
      </x:c>
    </x:row>
    <x:row r="27" ht="38" customHeight="1">
      <x:c r="A27" s="3" t="str">
        <x:v>17</x:v>
      </x:c>
      <x:c r="B27" s="17" t="str">
        <x:v>10B6b daily closing and reports</x:v>
      </x:c>
      <x:c r="C27" s="17" t="str">
        <x:v>Backend</x:v>
      </x:c>
      <x:c r="D27" s="17" t="str">
        <x:v>Yes</x:v>
      </x:c>
      <x:c r="E27" s="17" t="str">
        <x:v>Implemented</x:v>
      </x:c>
      <x:c r="F27" s="17" t="str">
        <x:v>14, 16</x:v>
      </x:c>
      <x:c r="G27" s="17" t="str">
        <x:v>Final close after local midnight; 0145 sole head; release acceptance remains</x:v>
      </x:c>
      <x:c r="H27" s="3" t="str">
        <x:v>S25</x:v>
      </x:c>
      <x:c r="I27" s="19" t="n">
        <x:v>46306</x:v>
      </x:c>
    </x:row>
    <x:row r="28" ht="38" customHeight="1">
      <x:c r="A28" s="3" t="str">
        <x:v>18</x:v>
      </x:c>
      <x:c r="B28" s="17" t="str">
        <x:v>10F4 owner daily operations screen</x:v>
      </x:c>
      <x:c r="C28" s="17" t="str">
        <x:v>Business + NIHILOBA</x:v>
      </x:c>
      <x:c r="D28" s="17" t="str">
        <x:v>Yes</x:v>
      </x:c>
      <x:c r="E28" s="17" t="str">
        <x:v>Implemented</x:v>
      </x:c>
      <x:c r="F28" s="17" t="str">
        <x:v>17</x:v>
      </x:c>
      <x:c r="G28" s="17" t="str">
        <x:v>Owner screens integrated with real Backend; device/live acceptance remains</x:v>
      </x:c>
      <x:c r="H28" s="3" t="str">
        <x:v>S26, S27</x:v>
      </x:c>
      <x:c r="I28" s="19" t="n">
        <x:v>46306</x:v>
      </x:c>
    </x:row>
    <x:row r="29" ht="38" customHeight="1">
      <x:c r="A29" s="3" t="str">
        <x:v>19</x:v>
      </x:c>
      <x:c r="B29" s="17" t="str">
        <x:v>Optional guest QR auto-accept setting</x:v>
      </x:c>
      <x:c r="C29" s="17" t="str">
        <x:v>Backend + both frontends</x:v>
      </x:c>
      <x:c r="D29" s="17" t="str">
        <x:v>Yes</x:v>
      </x:c>
      <x:c r="E29" s="17" t="str">
        <x:v>Implemented</x:v>
      </x:c>
      <x:c r="F29" s="17" t="str">
        <x:v>03</x:v>
      </x:c>
      <x:c r="G29" s="17" t="str">
        <x:v>0146; off by default; final broad Backend suite and live acceptance remain</x:v>
      </x:c>
      <x:c r="H29" s="3" t="str">
        <x:v>S29</x:v>
      </x:c>
      <x:c r="I29" s="19" t="n">
        <x:v>46306</x:v>
      </x:c>
    </x:row>
    <x:row r="30" ht="38" customHeight="1">
      <x:c r="A30" s="3" t="str">
        <x:v>20</x:v>
      </x:c>
      <x:c r="B30" s="17" t="str">
        <x:v>Fixed tables and table-specific QR</x:v>
      </x:c>
      <x:c r="C30" s="17" t="str">
        <x:v>Backend + frontends</x:v>
      </x:c>
      <x:c r="D30" s="17" t="str">
        <x:v>Yes</x:v>
      </x:c>
      <x:c r="E30" s="17" t="str">
        <x:v>Implemented</x:v>
      </x:c>
      <x:c r="F30" s="17" t="str">
        <x:v>03, 19</x:v>
      </x:c>
      <x:c r="G30" s="17" t="str">
        <x:v>0147; paid Business only; full Backend suite and physical table acceptance remain</x:v>
      </x:c>
      <x:c r="H30" s="3" t="str">
        <x:v>S30</x:v>
      </x:c>
      <x:c r="I30" s="19" t="n">
        <x:v>46306</x:v>
      </x:c>
    </x:row>
    <x:row r="31" ht="38" customHeight="1">
      <x:c r="A31" s="3" t="str">
        <x:v>21</x:v>
      </x:c>
      <x:c r="B31" s="17" t="str">
        <x:v>Reservations</x:v>
      </x:c>
      <x:c r="C31" s="17" t="str">
        <x:v>Backend + frontends</x:v>
      </x:c>
      <x:c r="D31" s="17" t="str">
        <x:v>Yes</x:v>
      </x:c>
      <x:c r="E31" s="17" t="str">
        <x:v>Implemented</x:v>
      </x:c>
      <x:c r="F31" s="17" t="str">
        <x:v>01</x:v>
      </x:c>
      <x:c r="G31" s="17" t="str">
        <x:v>0148; Free and account-based; live PostgreSQL/WhatsApp acceptance remains</x:v>
      </x:c>
      <x:c r="H31" s="3" t="str">
        <x:v>S31</x:v>
      </x:c>
      <x:c r="I31" s="19" t="n">
        <x:v>46306</x:v>
      </x:c>
    </x:row>
    <x:row r="32" ht="38" customHeight="1">
      <x:c r="A32" s="3" t="str">
        <x:v>22</x:v>
      </x:c>
      <x:c r="B32" s="17" t="str">
        <x:v>Multi-location reporting</x:v>
      </x:c>
      <x:c r="C32" s="17" t="str">
        <x:v>Business</x:v>
      </x:c>
      <x:c r="D32" s="17" t="str">
        <x:v>No</x:v>
      </x:c>
      <x:c r="E32" s="17" t="str">
        <x:v>Deferred</x:v>
      </x:c>
      <x:c r="F32" s="17" t="str">
        <x:v>17</x:v>
      </x:c>
      <x:c r="G32" s="17" t="str">
        <x:v>Later Organization scope</x:v>
      </x:c>
      <x:c r="H32" s="3" t="str">
        <x:v>S9</x:v>
      </x:c>
      <x:c r="I32" s="19" t="n">
        <x:v>46305</x:v>
      </x:c>
    </x:row>
    <x:row r="33" ht="38" customHeight="1">
      <x:c r="A33" s="3" t="str">
        <x:v>23</x:v>
      </x:c>
      <x:c r="B33" s="17" t="str">
        <x:v>Ingredient recipes and costing</x:v>
      </x:c>
      <x:c r="C33" s="17" t="str">
        <x:v>Backend + frontends</x:v>
      </x:c>
      <x:c r="D33" s="17" t="str">
        <x:v>No</x:v>
      </x:c>
      <x:c r="E33" s="17" t="str">
        <x:v>Deferred</x:v>
      </x:c>
      <x:c r="F33" s="17" t="str">
        <x:v>11</x:v>
      </x:c>
      <x:c r="G33" s="17" t="str">
        <x:v>Requires exact unit and recipe policy</x:v>
      </x:c>
      <x:c r="H33" s="3" t="str">
        <x:v>S9</x:v>
      </x:c>
      <x:c r="I33" s="19" t="n">
        <x:v>46305</x:v>
      </x:c>
    </x:row>
    <x:row r="34" ht="38" customHeight="1">
      <x:c r="A34" s="3" t="str">
        <x:v>24</x:v>
      </x:c>
      <x:c r="B34" s="17" t="str">
        <x:v>Alcoholic-drink policy for Nganda</x:v>
      </x:c>
      <x:c r="C34" s="17" t="str">
        <x:v>Product decision</x:v>
      </x:c>
      <x:c r="D34" s="17" t="str">
        <x:v>No</x:v>
      </x:c>
      <x:c r="E34" s="17" t="str">
        <x:v>Needs decision</x:v>
      </x:c>
      <x:c r="F34" s="17" t="str">
        <x:v>09</x:v>
      </x:c>
      <x:c r="G34" s="17" t="str">
        <x:v>Current restaurant ordering supports non-alcoholic drinks</x:v>
      </x:c>
      <x:c r="H34" s="3" t="str">
        <x:v>S9</x:v>
      </x:c>
      <x:c r="I34" s="19" t="n">
        <x:v>46305</x:v>
      </x:c>
    </x:row>
    <x:row r="35" ht="38" customHeight="1">
      <x:c r="A35" s="3" t="str">
        <x:v>25</x:v>
      </x:c>
      <x:c r="B35" s="17" t="str">
        <x:v>Physical-device and human language acceptance</x:v>
      </x:c>
      <x:c r="C35" s="17" t="str">
        <x:v>All products</x:v>
      </x:c>
      <x:c r="D35" s="17" t="str">
        <x:v>No</x:v>
      </x:c>
      <x:c r="E35" s="17" t="str">
        <x:v>Excluded</x:v>
      </x:c>
      <x:c r="F35" s="17" t="str">
        <x:v>18</x:v>
      </x:c>
      <x:c r="G35" s="17" t="str">
        <x:v>Outside implementation-only milestone</x:v>
      </x:c>
      <x:c r="H35" s="3" t="str">
        <x:v>S3</x:v>
      </x:c>
      <x:c r="I35" s="19" t="n">
        <x:v>46305</x:v>
      </x:c>
    </x:row>
    <x:row r="36" ht="38" customHeight="1">
      <x:c r="A36" s="3" t="str">
        <x:v>26</x:v>
      </x:c>
      <x:c r="B36" s="17" t="str">
        <x:v>Live rollout and production acceptance</x:v>
      </x:c>
      <x:c r="C36" s="17" t="str">
        <x:v>All products</x:v>
      </x:c>
      <x:c r="D36" s="17" t="str">
        <x:v>No</x:v>
      </x:c>
      <x:c r="E36" s="17" t="str">
        <x:v>Excluded</x:v>
      </x:c>
      <x:c r="F36" s="17" t="str">
        <x:v>18</x:v>
      </x:c>
      <x:c r="G36" s="17" t="str">
        <x:v>Outside implementation-only milestone</x:v>
      </x:c>
      <x:c r="H36" s="3" t="str">
        <x:v>S3</x:v>
      </x:c>
      <x:c r="I36" s="19" t="n">
        <x:v>46305</x:v>
      </x:c>
    </x:row>
    <x:row r="37" ht="38" customHeight="1">
      <x:c r="A37" s="3" t="str">
        <x:v>27</x:v>
      </x:c>
      <x:c r="B37" s="17" t="str">
        <x:v>Inherited full-suite failures</x:v>
      </x:c>
      <x:c r="C37" s="17" t="str">
        <x:v>Backend + both frontends</x:v>
      </x:c>
      <x:c r="D37" s="17" t="str">
        <x:v>No</x:v>
      </x:c>
      <x:c r="E37" s="17" t="str">
        <x:v>Deferred</x:v>
      </x:c>
      <x:c r="F37" s="17" t="str">
        <x:v>—</x:v>
      </x:c>
      <x:c r="G37" s="17" t="str">
        <x:v>No final green Backend full run through 0148: 0146 snapshot pre-final, 0147 stopped, 0148 stopped. Frontend baselines remain.</x:v>
      </x:c>
      <x:c r="H37" s="3" t="str">
        <x:v>S29, S30, S31</x:v>
      </x:c>
      <x:c r="I37" s="19" t="n">
        <x:v>46306</x:v>
      </x:c>
    </x:row>
    <x:row r="38" ht="38" customHeight="1">
      <x:c r="A38" s="3" t="str">
        <x:v>28</x:v>
      </x:c>
      <x:c r="B38" s="17" t="str">
        <x:v>Guest proxy rate-limit capacity review</x:v>
      </x:c>
      <x:c r="C38" s="17" t="str">
        <x:v>Backend + NIHILOBA</x:v>
      </x:c>
      <x:c r="D38" s="17" t="str">
        <x:v>No</x:v>
      </x:c>
      <x:c r="E38" s="17" t="str">
        <x:v>Deferred</x:v>
      </x:c>
      <x:c r="F38" s="17" t="str">
        <x:v>03</x:v>
      </x:c>
      <x:c r="G38" s="17" t="str">
        <x:v>Needed before production traffic</x:v>
      </x:c>
      <x:c r="H38" s="3" t="str">
        <x:v>S3</x:v>
      </x:c>
      <x:c r="I38" s="19" t="n">
        <x:v>46305</x:v>
      </x:c>
    </x:row>
  </x:sheetData>
  <x:conditionalFormatting sqref="E11:E38">
    <x:cfRule type="containsText" dxfId="0" priority="1" operator="containsText" text="Implemented"/>
    <x:cfRule type="containsText" dxfId="1" priority="2" operator="containsText" text="In progress"/>
    <x:cfRule type="containsText" dxfId="2" priority="3" operator="containsText" text="Planned"/>
    <x:cfRule type="containsText" dxfId="3" priority="4" operator="containsText" text="Needs decision"/>
    <x:cfRule type="containsText" dxfId="4" priority="5" operator="containsText" text="Deferred"/>
    <x:cfRule type="containsText" dxfId="5" priority="6" operator="containsText" text="Excluded"/>
  </x:conditionalFormatting>
  <x:dataValidations count="2">
    <x:dataValidation type="list" sqref="E11:E38">
      <x:formula1>"Implemented,In progress,Planned,Needs decision,Deferred,Excluded"</x:formula1>
    </x:dataValidation>
    <x:dataValidation type="list" sqref="D11:D3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32afd751a4938"/>
  </x:tableParts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21" hidden="0" customWidth="1"/>
    <x:col min="4" max="4" width="28" hidden="0" customWidth="1"/>
    <x:col min="5" max="5" width="60" hidden="0" customWidth="1"/>
    <x:col min="6" max="6" width="64" hidden="0" customWidth="1"/>
    <x:col min="7" max="7" width="25" hidden="0" customWidth="1"/>
    <x:col min="8" max="8" width="22" hidden="0" customWidth="1"/>
    <x:col min="9" max="9" width="18" hidden="0" customWidth="1"/>
  </x:cols>
  <x:sheetData>
    <x:row r="2">
      <x:c r="A2" s="2" t="str">
        <x:v>Restaurant &amp; Malewa — full roadmap aligned to the pilot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1" t="str">
        <x:v>Original statuses are retained. All 21 scoped implementation items are complete locally; Backend sole head is 0148. Release gates remain open.</x:v>
      </x:c>
      <x:c r="B3" s="21"/>
      <x:c r="C3" s="21"/>
      <x:c r="D3" s="21"/>
      <x:c r="E3" s="21"/>
      <x:c r="F3" s="21"/>
      <x:c r="G3" s="21"/>
      <x:c r="H3" s="21"/>
      <x:c r="I3" s="21"/>
    </x:row>
    <x:row r="4">
      <x:c r="A4" s="21" t="str">
        <x:v>The implementation target is separate from device tests, live acceptance and deployment. Fixed tables, reservations and multi-location reporting follow later.</x:v>
      </x:c>
      <x:c r="B4" s="21"/>
      <x:c r="C4" s="21"/>
      <x:c r="D4" s="21"/>
      <x:c r="E4" s="21"/>
      <x:c r="F4" s="21"/>
      <x:c r="G4" s="21"/>
      <x:c r="H4" s="21"/>
      <x:c r="I4" s="2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15" t="str">
        <x:v>ID</x:v>
      </x:c>
      <x:c r="B6" s="15" t="str">
        <x:v>Original milestone</x:v>
      </x:c>
      <x:c r="C6" s="15" t="str">
        <x:v>Original status</x:v>
      </x:c>
      <x:c r="D6" s="15" t="str">
        <x:v>Current status</x:v>
      </x:c>
      <x:c r="E6" s="15" t="str">
        <x:v>What is implemented now</x:v>
      </x:c>
      <x:c r="F6" s="15" t="str">
        <x:v>Remaining work / boundary</x:v>
      </x:c>
      <x:c r="G6" s="15" t="str">
        <x:v>Pilot IDs</x:v>
      </x:c>
      <x:c r="H6" s="15" t="str">
        <x:v>Phase</x:v>
      </x:c>
      <x:c r="I6" s="15" t="str">
        <x:v>Evidence</x:v>
      </x:c>
    </x:row>
    <x:row r="7" ht="51" customHeight="1">
      <x:c r="A7" s="3" t="str">
        <x:v>R0</x:v>
      </x:c>
      <x:c r="B7" s="17" t="str">
        <x:v>Business / foundation readiness</x:v>
      </x:c>
      <x:c r="C7" s="17" t="str">
        <x:v>Implemented / ready</x:v>
      </x:c>
      <x:c r="D7" s="17" t="str">
        <x:v>Implemented</x:v>
      </x:c>
      <x:c r="E7" s="17" t="str">
        <x:v>Organization and Personal ownership, paid access and Business/public foundations.</x:v>
      </x:c>
      <x:c r="F7" s="17" t="str">
        <x:v>Maintain exact access and entitlement checks.</x:v>
      </x:c>
      <x:c r="G7" s="17" t="str">
        <x:v>01–08</x:v>
      </x:c>
      <x:c r="H7" s="17" t="str">
        <x:v>Foundation</x:v>
      </x:c>
      <x:c r="I7" s="3" t="str">
        <x:v>S1, S13</x:v>
      </x:c>
    </x:row>
    <x:row r="8" ht="51" customHeight="1">
      <x:c r="A8" s="3" t="str">
        <x:v>R1</x:v>
      </x:c>
      <x:c r="B8" s="17" t="str">
        <x:v>Public Restaurant &amp; Malewa marketplace</x:v>
      </x:c>
      <x:c r="C8" s="17" t="str">
        <x:v>Implemented</x:v>
      </x:c>
      <x:c r="D8" s="17" t="str">
        <x:v>Implemented locally</x:v>
      </x:c>
      <x:c r="E8" s="17" t="str">
        <x:v>Profiles, public menus, prices, discovery and permanent QR entry.</x:v>
      </x:c>
      <x:c r="F8" s="17" t="str">
        <x:v>Live marketplace acceptance remains a release task.</x:v>
      </x:c>
      <x:c r="G8" s="17" t="str">
        <x:v>01</x:v>
      </x:c>
      <x:c r="H8" s="17" t="str">
        <x:v>Foundation</x:v>
      </x:c>
      <x:c r="I8" s="3" t="str">
        <x:v>S1, S13</x:v>
      </x:c>
    </x:row>
    <x:row r="9" ht="51" customHeight="1">
      <x:c r="A9" s="3" t="str">
        <x:v>R2</x:v>
      </x:c>
      <x:c r="B9" s="17" t="str">
        <x:v>Menu &amp; Malewa food model</x:v>
      </x:c>
      <x:c r="C9" s="17" t="str">
        <x:v>Partial / verify</x:v>
      </x:c>
      <x:c r="D9" s="17" t="str">
        <x:v>Partial / verify</x:v>
      </x:c>
      <x:c r="E9" s="17" t="str">
        <x:v>Public menus and guest ordering are working locally.</x:v>
      </x:c>
      <x:c r="F9" s="17" t="str">
        <x:v>Verify composed plates, pricing and WhatsApp plate flow against the original scope.</x:v>
      </x:c>
      <x:c r="G9" s="17" t="str">
        <x:v>01, 03</x:v>
      </x:c>
      <x:c r="H9" s="17" t="str">
        <x:v>Verify after pilot</x:v>
      </x:c>
      <x:c r="I9" s="3" t="str">
        <x:v>S1, S3, S13</x:v>
      </x:c>
    </x:row>
    <x:row r="10" ht="51" customHeight="1">
      <x:c r="A10" s="3" t="str">
        <x:v>R3</x:v>
      </x:c>
      <x:c r="B10" s="17" t="str">
        <x:v>Customer ordering</x:v>
      </x:c>
      <x:c r="C10" s="17" t="str">
        <x:v>Implemented</x:v>
      </x:c>
      <x:c r="D10" s="17" t="str">
        <x:v>Implemented locally</x:v>
      </x:c>
      <x:c r="E10" s="17" t="str">
        <x:v>Customer orders, private guest visits, repeat rounds, pickup proof and receipts.</x:v>
      </x:c>
      <x:c r="F10" s="17" t="str">
        <x:v>Live channel and device acceptance remains open.</x:v>
      </x:c>
      <x:c r="G10" s="17" t="str">
        <x:v>02, 03</x:v>
      </x:c>
      <x:c r="H10" s="17" t="str">
        <x:v>Foundation</x:v>
      </x:c>
      <x:c r="I10" s="3" t="str">
        <x:v>S2, S3, S13</x:v>
      </x:c>
    </x:row>
    <x:row r="11" ht="51" customHeight="1">
      <x:c r="A11" s="3" t="str">
        <x:v>R4</x:v>
      </x:c>
      <x:c r="B11" s="17" t="str">
        <x:v>Basic Restaurant operations</x:v>
      </x:c>
      <x:c r="C11" s="17" t="str">
        <x:v>Implemented / partial</x:v>
      </x:c>
      <x:c r="D11" s="17" t="str">
        <x:f>IF(COUNTIF('Pilot tracker'!E11:E28,"Implemented")=18,"Core pilot implemented","Core pilot in progress")</x:f>
        <x:v>Core pilot implemented</x:v>
      </x:c>
      <x:c r="E11" s="17" t="str">
        <x:v>Owner POS, Service checkout, Kitchen/Bar, Stock, expense/cash and daily closing screens are implemented.</x:v>
      </x:c>
      <x:c r="F11" s="17" t="str">
        <x:v>Resolve release gates and complete a controlled working-day acceptance.</x:v>
      </x:c>
      <x:c r="G11" s="17" t="str">
        <x:v>04–18</x:v>
      </x:c>
      <x:c r="H11" s="17" t="str">
        <x:v>Pilot implementation</x:v>
      </x:c>
      <x:c r="I11" s="3" t="str">
        <x:v>S4–S9, S13, S15–S27</x:v>
      </x:c>
    </x:row>
    <x:row r="12" ht="51" customHeight="1">
      <x:c r="A12" s="3" t="str">
        <x:v>R5</x:v>
      </x:c>
      <x:c r="B12" s="17" t="str">
        <x:v>Basic analytics</x:v>
      </x:c>
      <x:c r="C12" s="17" t="str">
        <x:v>Implemented</x:v>
      </x:c>
      <x:c r="D12" s="17" t="str">
        <x:v>Basic implemented</x:v>
      </x:c>
      <x:c r="E12" s="17" t="str">
        <x:v>Basic sales/order figures and daily money/expense closing reports exist.</x:v>
      </x:c>
      <x:c r="F12" s="17" t="str">
        <x:v>Advanced trends and margins remain later scope.</x:v>
      </x:c>
      <x:c r="G12" s="17" t="str">
        <x:v>17, 18</x:v>
      </x:c>
      <x:c r="H12" s="17" t="str">
        <x:v>Pilot + later</x:v>
      </x:c>
      <x:c r="I12" s="3" t="str">
        <x:v>S1, S9, S13, S25–S27</x:v>
      </x:c>
    </x:row>
    <x:row r="13" ht="51" customHeight="1">
      <x:c r="A13" s="3" t="str">
        <x:v>R6</x:v>
      </x:c>
      <x:c r="B13" s="17" t="str">
        <x:v>Cross-surface adoption</x:v>
      </x:c>
      <x:c r="C13" s="17" t="str">
        <x:v>Implemented</x:v>
      </x:c>
      <x:c r="D13" s="17" t="str">
        <x:f>IF(COUNTIF('Pilot tracker'!E11:E28,"Implemented")=18,"Core pilot integrated","Core pilot in progress")</x:f>
        <x:v>Core pilot integrated</x:v>
      </x:c>
      <x:c r="E13" s="17" t="str">
        <x:v>Core flows, Kitchen/Bar, Business Stock, Service checkout and owner daily screens are integrated.</x:v>
      </x:c>
      <x:c r="F13" s="17" t="str">
        <x:v>Physical-device and live-establishment acceptance remains.</x:v>
      </x:c>
      <x:c r="G13" s="17" t="str">
        <x:v>03, 05, 08, 10, 12, 15, 18</x:v>
      </x:c>
      <x:c r="H13" s="17" t="str">
        <x:v>Pilot implementation</x:v>
      </x:c>
      <x:c r="I13" s="3" t="str">
        <x:v>S3, S8, S9, S13, S16–S19, S23–S27</x:v>
      </x:c>
    </x:row>
    <x:row r="14" ht="51" customHeight="1">
      <x:c r="A14" s="3" t="str">
        <x:v>R7</x:v>
      </x:c>
      <x:c r="B14" s="17" t="str">
        <x:v>Real-world acceptance / release closure</x:v>
      </x:c>
      <x:c r="C14" s="17" t="str">
        <x:v>Open</x:v>
      </x:c>
      <x:c r="D14" s="17" t="str">
        <x:v>Open — after implementation</x:v>
      </x:c>
      <x:c r="E14" s="17" t="str">
        <x:v>Focused checks and real-Backend browser flows exist for completed batches.</x:v>
      </x:c>
      <x:c r="F14" s="17" t="str">
        <x:v>Complete Backend broad-suite triage, live PostgreSQL 0148, physical devices, WhatsApp, deployment and monitoring.</x:v>
      </x:c>
      <x:c r="G14" s="17" t="str">
        <x:v>25–28</x:v>
      </x:c>
      <x:c r="H14" s="17" t="str">
        <x:v>Release gate</x:v>
      </x:c>
      <x:c r="I14" s="3" t="str">
        <x:v>S3, S13, S25–S31</x:v>
      </x:c>
    </x:row>
    <x:row r="15" ht="51" customHeight="1">
      <x:c r="A15" s="3" t="str">
        <x:v>R8</x:v>
      </x:c>
      <x:c r="B15" s="17" t="str">
        <x:v>Paid Restaurant management V1</x:v>
      </x:c>
      <x:c r="C15" s="17" t="str">
        <x:v>Not started</x:v>
      </x:c>
      <x:c r="D15" s="17" t="str">
        <x:f>IF(COUNTIF('Pilot tracker'!E11:E28,"Implemented")=18,"Core pilot implemented","Core pilot in progress")</x:f>
        <x:v>Core pilot implemented</x:v>
      </x:c>
      <x:c r="E15" s="17" t="str">
        <x:v>Owner POS, assigned Kitchen/Bar, waiter checkout, staff Stock and daily money screens are implemented.</x:v>
      </x:c>
      <x:c r="F15" s="17" t="str">
        <x:v>Release acceptance and inherited test-gate triage remain.</x:v>
      </x:c>
      <x:c r="G15" s="17" t="str">
        <x:v>04–18</x:v>
      </x:c>
      <x:c r="H15" s="17" t="str">
        <x:v>Pilot implementation</x:v>
      </x:c>
      <x:c r="I15" s="3" t="str">
        <x:v>S4–S9, S13, S15–S27</x:v>
      </x:c>
    </x:row>
    <x:row r="16" ht="51" customHeight="1">
      <x:c r="A16" s="3" t="str">
        <x:v>R9</x:v>
      </x:c>
      <x:c r="B16" s="17" t="str">
        <x:v>Advanced Restaurant management</x:v>
      </x:c>
      <x:c r="C16" s="17" t="str">
        <x:v>Later</x:v>
      </x:c>
      <x:c r="D16" s="17" t="str">
        <x:v>Requested extras implemented</x:v>
      </x:c>
      <x:c r="E16" s="17" t="str">
        <x:v>Auto-accept, optional fixed-table QR and simple reservations are implemented locally.</x:v>
      </x:c>
      <x:c r="F16" s="17" t="str">
        <x:v>Advanced capacity, recipes, multi-location, shifts and split bills remain later; release acceptance is open.</x:v>
      </x:c>
      <x:c r="G16" s="17" t="str">
        <x:v>19–23</x:v>
      </x:c>
      <x:c r="H16" s="17" t="str">
        <x:v>Extra + later</x:v>
      </x:c>
      <x:c r="I16" s="3" t="str">
        <x:v>S9, S13, S28–S31</x:v>
      </x:c>
    </x:row>
    <x:row r="17" ht="51" customHeight="1">
      <x:c r="A17" s="3" t="str">
        <x:v>R10</x:v>
      </x:c>
      <x:c r="B17" s="17" t="str">
        <x:v>Growth &amp; CRM</x:v>
      </x:c>
      <x:c r="C17" s="17" t="str">
        <x:v>Later</x:v>
      </x:c>
      <x:c r="D17" s="17" t="str">
        <x:v>Later</x:v>
      </x:c>
      <x:c r="E17" s="17" t="str">
        <x:v>No approved implementation claimed.</x:v>
      </x:c>
      <x:c r="F17" s="17" t="str">
        <x:v>Favorites, promotions, loyalty and customer campaigns.</x:v>
      </x:c>
      <x:c r="G17" s="17" t="str">
        <x:v>—</x:v>
      </x:c>
      <x:c r="H17" s="17" t="str">
        <x:v>Later</x:v>
      </x:c>
      <x:c r="I17" s="3" t="str">
        <x:v>S13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23" t="str">
        <x:v>Added implementation and release work</x:v>
      </x:c>
      <x:c r="B20" s="3"/>
      <x:c r="C20" s="3"/>
      <x:c r="D20" s="3"/>
      <x:c r="E20" s="3"/>
      <x:c r="F20" s="3"/>
      <x:c r="G20" s="3"/>
      <x:c r="H20" s="3"/>
      <x:c r="I20" s="3"/>
    </x:row>
    <x:row r="21" ht="30" customHeight="1">
      <x:c r="A21" s="16" t="str">
        <x:v>Order</x:v>
      </x:c>
      <x:c r="B21" s="16" t="str">
        <x:v>Work</x:v>
      </x:c>
      <x:c r="C21" s="16" t="str">
        <x:v>Pilot IDs</x:v>
      </x:c>
      <x:c r="D21" s="16" t="str">
        <x:v>Boundary</x:v>
      </x:c>
      <x:c r="E21" s="3"/>
      <x:c r="F21" s="3"/>
      <x:c r="G21" s="3"/>
      <x:c r="H21" s="3"/>
      <x:c r="I21" s="3"/>
    </x:row>
    <x:row r="22" ht="33" customHeight="1">
      <x:c r="A22" s="3" t="str">
        <x:v>1</x:v>
      </x:c>
      <x:c r="B22" s="17" t="str">
        <x:v>Triage Backend and frontend suite gates</x:v>
      </x:c>
      <x:c r="C22" s="17" t="str">
        <x:v>27</x:v>
      </x:c>
      <x:c r="D22" s="17" t="str">
        <x:v>Final complete run against sole 0148; classify failures</x:v>
      </x:c>
      <x:c r="E22" s="3"/>
      <x:c r="F22" s="3"/>
      <x:c r="G22" s="3"/>
      <x:c r="H22" s="3"/>
      <x:c r="I22" s="3"/>
    </x:row>
    <x:row r="23" ht="33" customHeight="1">
      <x:c r="A23" s="3" t="str">
        <x:v>2</x:v>
      </x:c>
      <x:c r="B23" s="17" t="str">
        <x:v>Rehearse 0148 on live PostgreSQL staging</x:v>
      </x:c>
      <x:c r="C23" s="17" t="str">
        <x:v>21</x:v>
      </x:c>
      <x:c r="D23" s="17" t="str">
        <x:v>Reservation migration did not run on live server</x:v>
      </x:c>
      <x:c r="E23" s="3"/>
      <x:c r="F23" s="3"/>
      <x:c r="G23" s="3"/>
      <x:c r="H23" s="3"/>
      <x:c r="I23" s="3"/>
    </x:row>
    <x:row r="24" ht="33" customHeight="1">
      <x:c r="A24" s="3" t="str">
        <x:v>3</x:v>
      </x:c>
      <x:c r="B24" s="17" t="str">
        <x:v>Physical stock, table and money acceptance</x:v>
      </x:c>
      <x:c r="C24" s="17" t="str">
        <x:v>19, 20, 25</x:v>
      </x:c>
      <x:c r="D24" s="17" t="str">
        <x:v>Controlled one-establishment working day</x:v>
      </x:c>
      <x:c r="E24" s="3"/>
      <x:c r="F24" s="3"/>
      <x:c r="G24" s="3"/>
      <x:c r="H24" s="3"/>
      <x:c r="I24" s="3"/>
    </x:row>
    <x:row r="25" ht="33" customHeight="1">
      <x:c r="A25" s="3" t="str">
        <x:v>4</x:v>
      </x:c>
      <x:c r="B25" s="17" t="str">
        <x:v>Live WhatsApp reservation acceptance</x:v>
      </x:c>
      <x:c r="C25" s="17" t="str">
        <x:v>21, 26</x:v>
      </x:c>
      <x:c r="D25" s="17" t="str">
        <x:v>Four languages, provider failures and recovery</x:v>
      </x:c>
      <x:c r="E25" s="3"/>
      <x:c r="F25" s="3"/>
      <x:c r="G25" s="3"/>
      <x:c r="H25" s="3"/>
      <x:c r="I25" s="3"/>
    </x:row>
    <x:row r="26" ht="33" customHeight="1">
      <x:c r="A26" s="3" t="str">
        <x:v>5</x:v>
      </x:c>
      <x:c r="B26" s="17" t="str">
        <x:v>TLS, proxy, retention and rollout acceptance</x:v>
      </x:c>
      <x:c r="C26" s="17" t="str">
        <x:v>26, 28</x:v>
      </x:c>
      <x:c r="D26" s="17" t="str">
        <x:v>After implementation and release checks</x:v>
      </x:c>
      <x:c r="E26" s="3"/>
      <x:c r="F26" s="3"/>
      <x:c r="G26" s="3"/>
      <x:c r="H26" s="3"/>
      <x:c r="I26" s="3"/>
    </x:row>
    <x:row r="27" ht="33" customHeight="1">
      <x:c r="A27" s="3" t="str">
        <x:v>6</x:v>
      </x:c>
      <x:c r="B27" s="17" t="str">
        <x:v>Recipes and multi-location reporting</x:v>
      </x:c>
      <x:c r="C27" s="17" t="str">
        <x:v>22, 23</x:v>
      </x:c>
      <x:c r="D27" s="17" t="str">
        <x:v>Later scope</x:v>
      </x:c>
      <x:c r="E27" s="3"/>
      <x:c r="F27" s="3"/>
      <x:c r="G27" s="3"/>
      <x:c r="H27" s="3"/>
      <x:c r="I27" s="3"/>
    </x:row>
    <x:row r="28" ht="33" customHeight="1">
      <x:c r="A28" s="3" t="str">
        <x:v>7</x:v>
      </x:c>
      <x:c r="B28" s="17" t="str">
        <x:v>Advanced management and growth</x:v>
      </x:c>
      <x:c r="C28" s="17" t="str">
        <x:v>R9–R10</x:v>
      </x:c>
      <x:c r="D28" s="17" t="str">
        <x:v>Later scope</x:v>
      </x:c>
      <x:c r="E28" s="3"/>
      <x:c r="F28" s="3"/>
      <x:c r="G28" s="3"/>
      <x:c r="H28" s="3"/>
      <x:c r="I2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40" hidden="0" customWidth="1"/>
    <x:col min="3" max="3" width="26" hidden="0" customWidth="1"/>
    <x:col min="4" max="4" width="62" hidden="0" customWidth="1"/>
    <x:col min="5" max="5" width="18" hidden="0" customWidth="1"/>
    <x:col min="6" max="6" width="17" hidden="0" customWidth="1"/>
  </x:cols>
  <x:sheetData>
    <x:row r="2">
      <x:c r="A2" s="2" t="str">
        <x:v>Completed batch log</x:v>
      </x:c>
      <x:c r="B2" s="1"/>
      <x:c r="C2" s="1"/>
      <x:c r="D2" s="1"/>
      <x:c r="E2" s="1"/>
      <x:c r="F2" s="1"/>
    </x:row>
    <x:row r="3">
      <x:c r="A3" s="21" t="str">
        <x:v>Append one row after each completed handoff. Then update the matching Pilot tracker status, date, action and evidence reference.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5" t="str">
        <x:v>Batch</x:v>
      </x:c>
      <x:c r="B5" s="15" t="str">
        <x:v>Implemented deliverable</x:v>
      </x:c>
      <x:c r="C5" s="15" t="str">
        <x:v>Repository</x:v>
      </x:c>
      <x:c r="D5" s="15" t="str">
        <x:v>Result / limit</x:v>
      </x:c>
      <x:c r="E5" s="15" t="str">
        <x:v>Evidence</x:v>
      </x:c>
      <x:c r="F5" s="15" t="str">
        <x:v>Recorded</x:v>
      </x:c>
    </x:row>
    <x:row r="6" ht="33" customHeight="1">
      <x:c r="A6" s="1" t="str">
        <x:v>07B</x:v>
      </x:c>
      <x:c r="B6" s="24" t="str">
        <x:v>Owner Kitchen</x:v>
      </x:c>
      <x:c r="C6" s="24" t="str">
        <x:v>Backend + frontends</x:v>
      </x:c>
      <x:c r="D6" s="24" t="str">
        <x:v>Implemented locally; owner access.</x:v>
      </x:c>
      <x:c r="E6" s="1" t="str">
        <x:v>S12</x:v>
      </x:c>
      <x:c r="F6" s="25" t="n">
        <x:v>46305</x:v>
      </x:c>
    </x:row>
    <x:row r="7" ht="33" customHeight="1">
      <x:c r="A7" s="1" t="str">
        <x:v>07C</x:v>
      </x:c>
      <x:c r="B7" s="24" t="str">
        <x:v>Owner POS and counter preferences</x:v>
      </x:c>
      <x:c r="C7" s="24" t="str">
        <x:v>Backend + frontends</x:v>
      </x:c>
      <x:c r="D7" s="24" t="str">
        <x:v>Implemented locally; payment unverified.</x:v>
      </x:c>
      <x:c r="E7" s="1" t="str">
        <x:v>S4</x:v>
      </x:c>
      <x:c r="F7" s="25" t="n">
        <x:v>46305</x:v>
      </x:c>
    </x:row>
    <x:row r="8" ht="33" customHeight="1">
      <x:c r="A8" s="1" t="str">
        <x:v>08B2</x:v>
      </x:c>
      <x:c r="B8" s="24" t="str">
        <x:v>Assigned worker Kitchen</x:v>
      </x:c>
      <x:c r="C8" s="24" t="str">
        <x:v>Backend + Business</x:v>
      </x:c>
      <x:c r="D8" s="24" t="str">
        <x:v>Implemented locally; inherited release failures open.</x:v>
      </x:c>
      <x:c r="E8" s="1" t="str">
        <x:v>S5</x:v>
      </x:c>
      <x:c r="F8" s="25" t="n">
        <x:v>46305</x:v>
      </x:c>
    </x:row>
    <x:row r="9" ht="33" customHeight="1">
      <x:c r="A9" s="1" t="str">
        <x:v>09B1</x:v>
      </x:c>
      <x:c r="B9" s="24" t="str">
        <x:v>Private guest visits and repeat rounds</x:v>
      </x:c>
      <x:c r="C9" s="24" t="str">
        <x:v>Backend</x:v>
      </x:c>
      <x:c r="D9" s="24" t="str">
        <x:v>Implemented locally; migration 0138.</x:v>
      </x:c>
      <x:c r="E9" s="1" t="str">
        <x:v>S2</x:v>
      </x:c>
      <x:c r="F9" s="25" t="n">
        <x:v>46305</x:v>
      </x:c>
    </x:row>
    <x:row r="10" ht="33" customHeight="1">
      <x:c r="A10" s="1" t="str">
        <x:v>09B2</x:v>
      </x:c>
      <x:c r="B10" s="24" t="str">
        <x:v>Guest QR ordering interface</x:v>
      </x:c>
      <x:c r="C10" s="24" t="str">
        <x:v>NIHILOBA</x:v>
      </x:c>
      <x:c r="D10" s="24" t="str">
        <x:v>Implemented locally; device/live acceptance open.</x:v>
      </x:c>
      <x:c r="E10" s="1" t="str">
        <x:v>S3</x:v>
      </x:c>
      <x:c r="F10" s="25" t="n">
        <x:v>46305</x:v>
      </x:c>
    </x:row>
    <x:row r="11" ht="33" customHeight="1">
      <x:c r="A11" s="1" t="str">
        <x:v>10B1</x:v>
      </x:c>
      <x:c r="B11" s="24" t="str">
        <x:v>Prepared assisted orders</x:v>
      </x:c>
      <x:c r="C11" s="24" t="str">
        <x:v>Backend</x:v>
      </x:c>
      <x:c r="D11" s="24" t="str">
        <x:v>Implemented locally; migration 0139.</x:v>
      </x:c>
      <x:c r="E11" s="1" t="str">
        <x:v>S6</x:v>
      </x:c>
      <x:c r="F11" s="25" t="n">
        <x:v>46305</x:v>
      </x:c>
    </x:row>
    <x:row r="12" ht="33" customHeight="1">
      <x:c r="A12" s="1" t="str">
        <x:v>10B2</x:v>
      </x:c>
      <x:c r="B12" s="24" t="str">
        <x:v>Service grants, groups, guest consent</x:v>
      </x:c>
      <x:c r="C12" s="24" t="str">
        <x:v>Backend</x:v>
      </x:c>
      <x:c r="D12" s="24" t="str">
        <x:v>Implemented locally; migration 0140.</x:v>
      </x:c>
      <x:c r="E12" s="1" t="str">
        <x:v>S7</x:v>
      </x:c>
      <x:c r="F12" s="25" t="n">
        <x:v>46305</x:v>
      </x:c>
    </x:row>
    <x:row r="13" ht="33" customHeight="1">
      <x:c r="A13" s="1" t="str">
        <x:v>10F1</x:v>
      </x:c>
      <x:c r="B13" s="24" t="str">
        <x:v>Waiter Service screen and guest approval</x:v>
      </x:c>
      <x:c r="C13" s="24" t="str">
        <x:v>Business + NIHILOBA</x:v>
      </x:c>
      <x:c r="D13" s="24" t="str">
        <x:v>Implemented locally; staffed pilot incomplete.</x:v>
      </x:c>
      <x:c r="E13" s="1" t="str">
        <x:v>S8, S10</x:v>
      </x:c>
      <x:c r="F13" s="25" t="n">
        <x:v>46305</x:v>
      </x:c>
    </x:row>
    <x:row r="14" ht="33" customHeight="1">
      <x:c r="A14" s="1" t="str">
        <x:v>10B3</x:v>
      </x:c>
      <x:c r="B14" s="24" t="str">
        <x:v>Kitchen/Bar routing, station progress and recovery</x:v>
      </x:c>
      <x:c r="C14" s="24" t="str">
        <x:v>Backend</x:v>
      </x:c>
      <x:c r="D14" s="24" t="str">
        <x:v>Implemented locally; migration 0141; screens delivered in 10F2.</x:v>
      </x:c>
      <x:c r="E14" s="1" t="str">
        <x:v>S15</x:v>
      </x:c>
      <x:c r="F14" s="25" t="n">
        <x:v>46305</x:v>
      </x:c>
    </x:row>
    <x:row r="15" ht="33" customHeight="1">
      <x:c r="A15" s="1" t="str">
        <x:v>10F2</x:v>
      </x:c>
      <x:c r="B15" s="24" t="str">
        <x:v>Kitchen/Bar staff screens and owner controls</x:v>
      </x:c>
      <x:c r="C15" s="24" t="str">
        <x:v>Business + NIHILOBA</x:v>
      </x:c>
      <x:c r="D15" s="24" t="str">
        <x:v>Implemented locally; 0142 rollout lineage needs reconciliation.</x:v>
      </x:c>
      <x:c r="E15" s="1" t="str">
        <x:v>S16, S17</x:v>
      </x:c>
      <x:c r="F15" s="25" t="n">
        <x:v>46305</x:v>
      </x:c>
    </x:row>
    <x:row r="16" ht="33" customHeight="1">
      <x:c r="A16" s="1" t="str">
        <x:v>10B4</x:v>
      </x:c>
      <x:c r="B16" s="24" t="str">
        <x:v>Delegated stock and manual ingredient use</x:v>
      </x:c>
      <x:c r="C16" s="24" t="str">
        <x:v>Backend</x:v>
      </x:c>
      <x:c r="D16" s="24" t="str">
        <x:v>Implemented locally; migration 0142; Business screen delivered.</x:v>
      </x:c>
      <x:c r="E16" s="1" t="str">
        <x:v>S18</x:v>
      </x:c>
      <x:c r="F16" s="25" t="n">
        <x:v>46305</x:v>
      </x:c>
    </x:row>
    <x:row r="17" ht="33" customHeight="1">
      <x:c r="A17" s="1" t="str">
        <x:v>10B4 Stock</x:v>
      </x:c>
      <x:c r="B17" s="24" t="str">
        <x:v>Assigned stock worker and admin controls</x:v>
      </x:c>
      <x:c r="C17" s="24" t="str">
        <x:v>Business</x:v>
      </x:c>
      <x:c r="D17" s="24" t="str">
        <x:v>Implemented locally; B4 API compatible with sole 0143 head.</x:v>
      </x:c>
      <x:c r="E17" s="1" t="str">
        <x:v>S19</x:v>
      </x:c>
      <x:c r="F17" s="25" t="n">
        <x:v>46305</x:v>
      </x:c>
    </x:row>
    <x:row r="18" ht="33" customHeight="1">
      <x:c r="A18" s="1" t="str">
        <x:v>10B5a</x:v>
      </x:c>
      <x:c r="B18" s="24" t="str">
        <x:v>Declared money and group checkout foundation</x:v>
      </x:c>
      <x:c r="C18" s="24" t="str">
        <x:v>Backend</x:v>
      </x:c>
      <x:c r="D18" s="24" t="str">
        <x:v>Implemented locally; sole head 0143; B5b added protected receipt.</x:v>
      </x:c>
      <x:c r="E18" s="1" t="str">
        <x:v>S20</x:v>
      </x:c>
      <x:c r="F18" s="25" t="n">
        <x:v>46305</x:v>
      </x:c>
    </x:row>
    <x:row r="19" ht="33" customHeight="1">
      <x:c r="A19" s="1" t="str">
        <x:v>10B5b</x:v>
      </x:c>
      <x:c r="B19" s="24" t="str">
        <x:v>Protected receipt, guest summary and money recovery</x:v>
      </x:c>
      <x:c r="C19" s="24" t="str">
        <x:v>Backend</x:v>
      </x:c>
      <x:c r="D19" s="24" t="str">
        <x:v>Implemented locally; 0143 unchanged; Service checkout delivered in 10F3.</x:v>
      </x:c>
      <x:c r="E19" s="1" t="str">
        <x:v>S21</x:v>
      </x:c>
      <x:c r="F19" s="25" t="n">
        <x:v>46305</x:v>
      </x:c>
    </x:row>
    <x:row r="20" ht="33" customHeight="1">
      <x:c r="A20" s="1" t="str">
        <x:v>10B6a</x:v>
      </x:c>
      <x:c r="B20" s="24" t="str">
        <x:v>Paid expenses and cash movement foundation</x:v>
      </x:c>
      <x:c r="C20" s="24" t="str">
        <x:v>Backend</x:v>
      </x:c>
      <x:c r="D20" s="24" t="str">
        <x:v>Implemented locally; sole head 0144; daily close remains.</x:v>
      </x:c>
      <x:c r="E20" s="1" t="str">
        <x:v>S22</x:v>
      </x:c>
      <x:c r="F20" s="25" t="n">
        <x:v>46305</x:v>
      </x:c>
    </x:row>
    <x:row r="21" ht="33" customHeight="1">
      <x:c r="A21" s="1" t="str">
        <x:v>10F3</x:v>
      </x:c>
      <x:c r="B21" s="24" t="str">
        <x:v>Service checkout and private guest payment summary</x:v>
      </x:c>
      <x:c r="C21" s="24" t="str">
        <x:v>Business + NIHILOBA</x:v>
      </x:c>
      <x:c r="D21" s="24" t="str">
        <x:v>Implemented locally; release-environment acceptance remains.</x:v>
      </x:c>
      <x:c r="E21" s="1" t="str">
        <x:v>S23, S24</x:v>
      </x:c>
      <x:c r="F21" s="25" t="n">
        <x:v>46305</x:v>
      </x:c>
    </x:row>
    <x:row r="22" ht="33" customHeight="1">
      <x:c r="A22" s="1" t="str">
        <x:v>10B6b</x:v>
      </x:c>
      <x:c r="B22" s="24" t="str">
        <x:v>Confirmed-zone daily closing and immutable reports</x:v>
      </x:c>
      <x:c r="C22" s="24" t="str">
        <x:v>Backend</x:v>
      </x:c>
      <x:c r="D22" s="24" t="str">
        <x:v>Implemented locally; sole head 0145; broad suite difference unresolved.</x:v>
      </x:c>
      <x:c r="E22" s="1" t="str">
        <x:v>S25</x:v>
      </x:c>
      <x:c r="F22" s="25" t="n">
        <x:v>46306</x:v>
      </x:c>
    </x:row>
    <x:row r="23" ht="33" customHeight="1">
      <x:c r="A23" s="1" t="str">
        <x:v>10F4</x:v>
      </x:c>
      <x:c r="B23" s="24" t="str">
        <x:v>Owner expense, cash and daily closing screens</x:v>
      </x:c>
      <x:c r="C23" s="24" t="str">
        <x:v>Business + NIHILOBA</x:v>
      </x:c>
      <x:c r="D23" s="24" t="str">
        <x:v>Implemented locally against real Backend; device/live acceptance remains.</x:v>
      </x:c>
      <x:c r="E23" s="1" t="str">
        <x:v>S26, S27</x:v>
      </x:c>
      <x:c r="F23" s="25" t="n">
        <x:v>46306</x:v>
      </x:c>
    </x:row>
    <x:row r="24" ht="33" customHeight="1">
      <x:c r="A24" s="1" t="str">
        <x:v>Guest QR auto-accept</x:v>
      </x:c>
      <x:c r="B24" s="24" t="str">
        <x:v>Optional audited QR acceptance and controls</x:v>
      </x:c>
      <x:c r="C24" s="24" t="str">
        <x:v>Backend + both frontends</x:v>
      </x:c>
      <x:c r="D24" s="24" t="str">
        <x:v>Implemented locally; sole head 0146; final broad suite not rerun.</x:v>
      </x:c>
      <x:c r="E24" s="1" t="str">
        <x:v>S29</x:v>
      </x:c>
      <x:c r="F24" s="25" t="n">
        <x:v>46306</x:v>
      </x:c>
    </x:row>
    <x:row r="25" ht="33" customHeight="1">
      <x:c r="A25" s="1" t="str">
        <x:v>Fixed tables</x:v>
      </x:c>
      <x:c r="B25" s="24" t="str">
        <x:v>Paid fixed-table QR and table delivery</x:v>
      </x:c>
      <x:c r="C25" s="24" t="str">
        <x:v>Backend + both frontends</x:v>
      </x:c>
      <x:c r="D25" s="24" t="str">
        <x:v>Implemented locally; sole head 0147; broad Backend run incomplete.</x:v>
      </x:c>
      <x:c r="E25" s="1" t="str">
        <x:v>S30</x:v>
      </x:c>
      <x:c r="F25" s="25" t="n">
        <x:v>46306</x:v>
      </x:c>
    </x:row>
    <x:row r="26" ht="33" customHeight="1">
      <x:c r="A26" s="1" t="str">
        <x:v>Reservations</x:v>
      </x:c>
      <x:c r="B26" s="24" t="str">
        <x:v>Free account-based seller-confirmed booking</x:v>
      </x:c>
      <x:c r="C26" s="24" t="str">
        <x:v>Backend + both frontends</x:v>
      </x:c>
      <x:c r="D26" s="24" t="str">
        <x:v>Implemented locally; sole head 0148; live PostgreSQL and full suite pending.</x:v>
      </x:c>
      <x:c r="E26" s="1" t="str">
        <x:v>S31</x:v>
      </x:c>
      <x:c r="F26" s="25" t="n">
        <x:v>46306</x:v>
      </x:c>
    </x:row>
    <x:row r="27" ht="112.5" customHeight="1">
      <x:c r="A27" s="1" t="inlineStr">
        <x:is>
          <x:t>Personal solo Settings</x:t>
        </x:is>
      </x:c>
      <x:c r="B27" s="24" t="inlineStr">
        <x:is>
          <x:t>Saved capabilities, setup requirements, intake confirmation and recovery</x:t>
        </x:is>
      </x:c>
      <x:c r="C27" s="24" t="inlineStr">
        <x:is>
          <x:t>Website; Backend and WhatsApp contracts unchanged</x:t>
        </x:is>
      </x:c>
      <x:c r="D27" s="24" t="inlineStr">
        <x:is>
          <x:t>Partial: 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</x:t>
        </x:is>
      </x:c>
      <x:c r="E27" s="1" t="inlineStr">
        <x:is>
          <x:t>S32</x:t>
        </x:is>
      </x:c>
      <x:c r="F27" s="25" t="inlineStr">
        <x:is>
          <x:t>2026-10-15</x:t>
        </x:is>
      </x:c>
    </x:row>
    <row xmlns="http://schemas.openxmlformats.org/spreadsheetml/2006/main" r="28" ht="135" customHeight="1">
      <c r="A28" s="1" t="inlineStr">
        <is>
          <t>Receiving orders</t>
        </is>
      </c>
      <c r="B28" s="24" t="inlineStr">
        <is>
          <t>Status, setup reasons, dated pickup/delivery and safe review</t>
        </is>
      </c>
      <c r="C28" s="24" t="inlineStr">
        <is>
          <t>Website + minimal Backend/WhatsApp</t>
        </is>
      </c>
      <c r="D28" s="24" t="inlineStr">
        <is>
          <t>Build/typecheck/changed-file lint pass. Website: 116 unit executions, 52 production-browser cases across FR/EN/LN/SW at 360/820/1440. Backend: 246 + 7 pass, fresh SQLite; head 0163, no migration. Six older combined C1-E cases fail on obsolete activity/amount expectations; full-suite red gates not rerun. Staging, real WhatsApp phone, physical devices, human language and reusable-schedule acceptance remain open. No deploy or production change.</t>
        </is>
      </c>
      <c r="E28" s="1" t="inlineStr">
        <is>
          <t>S33</t>
        </is>
      </c>
      <c r="F28" s="25" t="inlineStr">
        <is>
          <t>2026-10-15</t>
        </is>
      </c>
    </row>
    <row xmlns="http://schemas.openxmlformats.org/spreadsheetml/2006/main" r="29" ht="225" customHeight="1">
      <c r="A29" s="26" t="str">
        <v>Reusable pickup/delivery schedules</v>
      </c>
      <c r="B29" s="27" t="str">
        <v>Weekly repetition, lead/cutoff, today/tomorrow, preserved commitments</v>
      </c>
      <c r="C29" s="27" t="str">
        <v>Website + Backend + WhatsApp</v>
      </c>
      <c r="D29" s="27" t="str">
        <v>Local recurring schedules; release Partial. Final schedule Backend: 37 passed; legacy intake: 152 passed. Combined receiving/Guest QR diagnostic: 61 pass, migration-number collision fixed; 7 focused reruns pass. Website: 23 units; 32 production-browser cases, then 16 final schedule/checkout cases; build, typecheck and changed-file lint pass. Migration 0165 follows existing Services 0164; no backfill. Staging, real WhatsApp phone, physical devices, human FR/EN/LN/SW/full-day and broader gates remain open. Exact results and deployment order: restaurants-schedules-2026-10-15.md. No deploy, switch changes, commit or push.</v>
      </c>
      <c r="E29" s="26" t="str">
        <v>S34</v>
      </c>
      <c r="F29" s="28" t="str">
        <v>2026-10-15</v>
      </c>
    </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0" hidden="0" customWidth="1"/>
    <x:col min="3" max="3" width="72" hidden="0" customWidth="1"/>
  </x:cols>
  <x:sheetData>
    <x:row r="2">
      <x:c r="A2" s="20" t="str">
        <x:v>Evidence and status definitions</x:v>
      </x:c>
      <x:c r="B2" s="1"/>
      <x:c r="C2" s="1"/>
    </x:row>
    <x:row r="3">
      <x:c r="A3" s="21" t="str">
        <x:v>Statuses use the latest completed handoff report available at the checkpoint. Planned means no completion report was found.</x:v>
      </x:c>
      <x:c r="B3" s="21"/>
      <x:c r="C3" s="21"/>
    </x:row>
    <x:row r="4">
      <x:c r="A4" s="21" t="str">
        <x:v>Update this workbook after each batch handoff: mark the item in Pilot tracker, append the batch in Batch log, and cite the new report here.</x:v>
      </x:c>
      <x:c r="B4" s="21"/>
      <x:c r="C4" s="21"/>
    </x:row>
    <x:row r="5" ht="28" customHeight="1">
      <x:c r="A5" s="15" t="str">
        <x:v>ID</x:v>
      </x:c>
      <x:c r="B5" s="15" t="str">
        <x:v>Evidence path</x:v>
      </x:c>
      <x:c r="C5" s="15" t="str">
        <x:v>Supports</x:v>
      </x:c>
    </x:row>
    <x:row r="6" ht="28" customHeight="1">
      <x:c r="A6" s="1" t="str">
        <x:v>S1</x:v>
      </x:c>
      <x:c r="B6" s="1" t="str">
        <x:v>C:\NIHILOBA\Backend\docs\business_modules\restaurants_malewa.md</x:v>
      </x:c>
      <x:c r="C6" s="1" t="str">
        <x:v>Canonical Restaurant scope and Free baseline</x:v>
      </x:c>
    </x:row>
    <x:row r="7" ht="28" customHeight="1">
      <x:c r="A7" s="1" t="str">
        <x:v>S2</x:v>
      </x:c>
      <x:c r="B7" s="1" t="str">
        <x:v>C:\NIHILOBA\Backend\docs\restaurants_rm_v11_09b1_guest_visits.md</x:v>
      </x:c>
      <x:c r="C7" s="1" t="str">
        <x:v>Guest Backend visits, rounds and sole head 0138 at 09B1</x:v>
      </x:c>
    </x:row>
    <x:row r="8" ht="28" customHeight="1">
      <x:c r="A8" s="1" t="str">
        <x:v>S3</x:v>
      </x:c>
      <x:c r="B8" s="1" t="str">
        <x:v>C:\NIHILOBA\nihiloba-website\docs\restaurants-rm-v11-09b2.md</x:v>
      </x:c>
      <x:c r="C8" s="1" t="str">
        <x:v>Guest page, proxy, device/live limits and rate-limit risk</x:v>
      </x:c>
    </x:row>
    <x:row r="9" ht="28" customHeight="1">
      <x:c r="A9" s="1" t="str">
        <x:v>S4</x:v>
      </x:c>
      <x:c r="B9" s="1" t="str">
        <x:v>C:\NIHILOBA\Backend\docs\restaurants_rm_v11_07c.md</x:v>
      </x:c>
      <x:c r="C9" s="1" t="str">
        <x:v>Paid owner POS; owner Kitchen/inventory status in canonical spec</x:v>
      </x:c>
    </x:row>
    <x:row r="10" ht="28" customHeight="1">
      <x:c r="A10" s="1" t="str">
        <x:v>S5</x:v>
      </x:c>
      <x:c r="B10" s="1" t="str">
        <x:v>C:\NIHILOBA\Backend\docs\restaurants_rm_v11_08b2_assigned_kitchen.md</x:v>
      </x:c>
      <x:c r="C10" s="1" t="str">
        <x:v>Assigned Kitchen worker implementation</x:v>
      </x:c>
    </x:row>
    <x:row r="11" ht="28" customHeight="1">
      <x:c r="A11" s="1" t="str">
        <x:v>S6</x:v>
      </x:c>
      <x:c r="B11" s="1" t="str">
        <x:v>C:\NIHILOBA\Backend\docs\restaurants_rm_v11_10b1_assisted_ordering.md</x:v>
      </x:c>
      <x:c r="C11" s="1" t="str">
        <x:v>Prepared assisted Backend; migration 0139</x:v>
      </x:c>
    </x:row>
    <x:row r="12" ht="28" customHeight="1">
      <x:c r="A12" s="1" t="str">
        <x:v>S7</x:v>
      </x:c>
      <x:c r="B12" s="1" t="str">
        <x:v>C:\NIHILOBA\Backend\docs\restaurants_rm_v11_10b2_service_groups.md</x:v>
      </x:c>
      <x:c r="C12" s="1" t="str">
        <x:v>Service worker/group Backend; migration 0140</x:v>
      </x:c>
    </x:row>
    <x:row r="13" ht="28" customHeight="1">
      <x:c r="A13" s="1" t="str">
        <x:v>S8</x:v>
      </x:c>
      <x:c r="B13" s="1" t="str">
        <x:v>C:\NIHILOBA\shida-business\docs\restaurants_rm_v11_10f1_service_ordering.md</x:v>
      </x:c>
      <x:c r="C13" s="1" t="str">
        <x:v>Business Service screen; Personal/guest counterpart also inspected</x:v>
      </x:c>
    </x:row>
    <x:row r="14" ht="28" customHeight="1">
      <x:c r="A14" s="1" t="str">
        <x:v>S9</x:v>
      </x:c>
      <x:c r="B14" s="1" t="str">
        <x:v>C:\NIHILOBA\Backend\docs\restaurants_rm_v11_10a_single_establishment_pilot_contract.md</x:v>
      </x:c>
      <x:c r="C14" s="1" t="str">
        <x:v>Remaining B3/F2/B4/B5/B6 implementation sequence and later features</x:v>
      </x:c>
    </x:row>
    <x:row r="15" ht="28" customHeight="1">
      <x:c r="A15" s="1" t="str">
        <x:v>S10</x:v>
      </x:c>
      <x:c r="B15" s="1" t="str">
        <x:v>C:\NIHILOBA\nihiloba-website\docs\restaurants_rm_v11_10f1_service_ordering.md</x:v>
      </x:c>
      <x:c r="C15" s="1" t="str">
        <x:v>Personal Service, guest approval and inherited frontend failures</x:v>
      </x:c>
    </x:row>
    <x:row r="16" ht="28" customHeight="1">
      <x:c r="A16" s="1" t="str">
        <x:v>S11</x:v>
      </x:c>
      <x:c r="B16" s="1" t="str">
        <x:v>C:\NIHILOBA\Backend\docs\restaurants_rm_v11_06b.md</x:v>
      </x:c>
      <x:c r="C16" s="1" t="str">
        <x:v>Numerical stock implementation</x:v>
      </x:c>
    </x:row>
    <x:row r="17" ht="28" customHeight="1">
      <x:c r="A17" s="1" t="str">
        <x:v>S12</x:v>
      </x:c>
      <x:c r="B17" s="1" t="str">
        <x:v>C:\NIHILOBA\Backend\docs\restaurants_rm_v11_07b.md</x:v>
      </x:c>
      <x:c r="C17" s="1" t="str">
        <x:v>Owner Kitchen implementation</x:v>
      </x:c>
    </x:row>
    <x:row r="18" ht="28" customHeight="1">
      <x:c r="A18" s="1" t="str">
        <x:v>S13</x:v>
      </x:c>
      <x:c r="B18" s="1" t="str">
        <x:v>C:\Users\mabal\OneDrive\NIHILOBA\SHIDA\Development\SHIDA_Restaurant_Malewa_Roadmap.xlsx</x:v>
      </x:c>
      <x:c r="C18" s="1" t="str">
        <x:v>Original R0–R10 roadmap and historical statuses</x:v>
      </x:c>
    </x:row>
    <x:row r="19" ht="28" customHeight="1">
      <x:c r="A19" s="1" t="str">
        <x:v>S14</x:v>
      </x:c>
      <x:c r="B19" s="1" t="str">
        <x:v>C:\Users\mabal\OneDrive\NIHILOBA\SHIDA\Development\shida_restaurants_pilot_tracker_2026-10-10.xlsx</x:v>
      </x:c>
      <x:c r="C19" s="1" t="str">
        <x:v>Earlier 18-item pilot tracker; merged into this master file</x:v>
      </x:c>
    </x:row>
    <x:row r="20" ht="28" customHeight="1">
      <x:c r="A20" s="1" t="str">
        <x:v>S15</x:v>
      </x:c>
      <x:c r="B20" s="1" t="str">
        <x:v>C:\NIHILOBA\Backend\docs\restaurants_rm_v11_10b3_preparation.md</x:v>
      </x:c>
      <x:c r="C20" s="1" t="str">
        <x:v>10B3 Kitchen/Bar Backend preparation, migration 0141 and validation</x:v>
      </x:c>
    </x:row>
    <x:row r="21" ht="28" customHeight="1">
      <x:c r="A21" s="1" t="str">
        <x:v>S16</x:v>
      </x:c>
      <x:c r="B21" s="1" t="str">
        <x:v>C:\NIHILOBA\shida-business\docs\restaurants_rm_v11_10f2_preparation.md</x:v>
      </x:c>
      <x:c r="C21" s="1" t="str">
        <x:v>Business 10F2 completion, assigned Bar, routing and 0142 rollout blocker</x:v>
      </x:c>
    </x:row>
    <x:row r="22" ht="28" customHeight="1">
      <x:c r="A22" s="1" t="str">
        <x:v>S17</x:v>
      </x:c>
      <x:c r="B22" s="1" t="str">
        <x:v>C:\NIHILOBA\nihiloba-website\docs\restaurants_rm_v11_10f2_preparation.md</x:v>
      </x:c>
      <x:c r="C22" s="1" t="str">
        <x:v>Website 10F2 completion, Personal/Free preparation and 0142 rollout blocker</x:v>
      </x:c>
    </x:row>
    <x:row r="23" ht="28" customHeight="1">
      <x:c r="A23" s="1" t="str">
        <x:v>S18</x:v>
      </x:c>
      <x:c r="B23" s="1" t="str">
        <x:v>C:\NIHILOBA\Backend\docs\restaurants_rm_v11_10b4_stock_workers.md</x:v>
      </x:c>
      <x:c r="C23" s="1" t="str">
        <x:v>10B4 completed Backend stock workers, ingredient use and migration 0142</x:v>
      </x:c>
    </x:row>
    <x:row r="24" ht="28" customHeight="1">
      <x:c r="A24" s="1" t="str">
        <x:v>S19</x:v>
      </x:c>
      <x:c r="B24" s="1" t="str">
        <x:v>C:\NIHILOBA\shida-business\docs\restaurants_rm_v11_10b4_stock.md</x:v>
      </x:c>
      <x:c r="C24" s="1" t="str">
        <x:v>Business stock screen completion and compatibility with concurrent 0143 head</x:v>
      </x:c>
    </x:row>
    <x:row r="25" ht="28" customHeight="1">
      <x:c r="A25" s="1" t="str">
        <x:v>S20</x:v>
      </x:c>
      <x:c r="B25" s="1" t="str">
        <x:v>C:\NIHILOBA\Backend\docs\restaurants_rm_v11_10b5a_money_foundation.md</x:v>
      </x:c>
      <x:c r="C25" s="1" t="str">
        <x:v>10B5a Backend bill, declared money, recovery boundary and sole head 0143</x:v>
      </x:c>
    </x:row>
    <x:row r="26" ht="28" customHeight="1">
      <x:c r="A26" s="1" t="str">
        <x:v>S21</x:v>
      </x:c>
      <x:c r="B26" s="1" t="str">
        <x:v>C:\NIHILOBA\Backend\docs\restaurants_rm_v11_10b5b_receipt_recovery.md</x:v>
      </x:c>
      <x:c r="C26" s="1" t="str">
        <x:v>10B5b protected receipt, guest money summary and read-only recovery; 0143 unchanged</x:v>
      </x:c>
    </x:row>
    <x:row r="27" ht="28" customHeight="1">
      <x:c r="A27" s="1" t="str">
        <x:v>S22</x:v>
      </x:c>
      <x:c r="B27" s="1" t="str">
        <x:v>C:\NIHILOBA\Backend\docs\restaurants_rm_v11_10b6a_expense_cash_foundation.md</x:v>
      </x:c>
      <x:c r="C27" s="1" t="str">
        <x:v>10B6a paid expense and cash movement foundation; sole head 0144; 293 full-suite failures by count</x:v>
      </x:c>
    </x:row>
    <x:row r="28" ht="28" customHeight="1">
      <x:c r="A28" s="1" t="str">
        <x:v>S23</x:v>
      </x:c>
      <x:c r="B28" s="1" t="str">
        <x:v>C:\NIHILOBA\shida-business\docs\restaurants_rm_v11_10f3_checkout.md</x:v>
      </x:c>
      <x:c r="C28" s="1" t="str">
        <x:v>Business 10F3 Service checkout, grants, methods, corrections, refunds and protected receipts</x:v>
      </x:c>
    </x:row>
    <x:row r="29" ht="28" customHeight="1">
      <x:c r="A29" s="1" t="str">
        <x:v>S24</x:v>
      </x:c>
      <x:c r="B29" s="1" t="str">
        <x:v>C:\NIHILOBA\nihiloba-website\docs\restaurants_rm_v11_10f3_checkout.md</x:v>
      </x:c>
      <x:c r="C29" s="1" t="str">
        <x:v>Website 10F3 Service checkout and private guest payment summary</x:v>
      </x:c>
    </x:row>
    <x:row r="30" ht="28" customHeight="1">
      <x:c r="A30" s="1" t="str">
        <x:v>S25</x:v>
      </x:c>
      <x:c r="B30" s="1" t="str">
        <x:v>C:\NIHILOBA\Backend\docs\restaurants_rm_v11_10b6b_daily_closing.md</x:v>
      </x:c>
      <x:c r="C30" s="1" t="str">
        <x:v>10B6b confirmed-zone daily close, 0145 sole head, focused/PostgreSQL passes and unresolved full-suite comparison</x:v>
      </x:c>
    </x:row>
    <x:row r="31" ht="28" customHeight="1">
      <x:c r="A31" s="1" t="str">
        <x:v>S26</x:v>
      </x:c>
      <x:c r="B31" s="1" t="str">
        <x:v>C:\NIHILOBA\shida-business\docs\restaurants_rm_v11_10f4_daily_operations.md</x:v>
      </x:c>
      <x:c r="C31" s="1" t="str">
        <x:v>Business 10F4 owner daily operations and real-Backend browser acceptance</x:v>
      </x:c>
    </x:row>
    <x:row r="32" ht="28" customHeight="1">
      <x:c r="A32" s="1" t="str">
        <x:v>S27</x:v>
      </x:c>
      <x:c r="B32" s="1" t="str">
        <x:v>C:\NIHILOBA\nihiloba-website\docs\restaurants_rm_v11_10f4_daily_operations.md</x:v>
      </x:c>
      <x:c r="C32" s="1" t="str">
        <x:v>Personal 10F4 owner daily operations and real-Backend browser acceptance</x:v>
      </x:c>
    </x:row>
    <x:row r="33" ht="28" customHeight="1">
      <x:c r="A33" s="1" t="str">
        <x:v>S28</x:v>
      </x:c>
      <x:c r="B33" s="1" t="str">
        <x:v>Founder request in this chat (2026-10-11)</x:v>
      </x:c>
      <x:c r="C33" s="1" t="str">
        <x:v>Add QR auto-accept, fixed-table QR and simple reservations; reservations require a SHIDA account</x:v>
      </x:c>
    </x:row>
    <x:row r="34" ht="28" customHeight="1">
      <x:c r="A34" s="1" t="str">
        <x:v>S29</x:v>
      </x:c>
      <x:c r="B34" s="1" t="str">
        <x:v>C:\NIHILOBA\Backend\docs\restaurants_rm_v11_guest_qr_auto_accept.md</x:v>
      </x:c>
      <x:c r="C34" s="1" t="str">
        <x:v>Optional Free guest QR auto-accept across Backend and both frontends; sole head 0146</x:v>
      </x:c>
    </x:row>
    <x:row r="35" ht="28" customHeight="1">
      <x:c r="A35" s="1" t="str">
        <x:v>S30</x:v>
      </x:c>
      <x:c r="B35" s="1" t="str">
        <x:v>C:\NIHILOBA\Backend\docs\restaurants_rm_v11_fixed_tables.md</x:v>
      </x:c>
      <x:c r="C35" s="1" t="str">
        <x:v>Paid Business fixed-table QR and table-delivery implementation; sole head 0147</x:v>
      </x:c>
    </x:row>
    <x:row r="36" ht="28" customHeight="1">
      <x:c r="A36" s="1" t="str">
        <x:v>S31</x:v>
      </x:c>
      <x:c r="B36" s="1" t="str">
        <x:v>C:\NIHILOBA\Backend\docs\restaurants_simple_reservations.md</x:v>
      </x:c>
      <x:c r="C36" s="1" t="str">
        <x:v>Free account-based seller-confirmed Restaurant reservations; sole head 0148</x:v>
      </x:c>
    </x:row>
    <x:row r="37" ht="75.0" customHeight="1">
      <x:c r="A37" s="1" t="inlineStr">
        <x:is>
          <x:t>S32</x:t>
        </x:is>
      </x:c>
      <x:c r="B37" s="1" t="inlineStr">
        <x:is>
          <x:t>C:/NIHILOBA/nihiloba-website/docs/restaurants-settings-2026-10-15.md</x:t>
        </x:is>
      </x:c>
      <x:c r="C37" s="1" t="inlineStr">
        <x:is>
          <x:t>Local Settings: 25 browser checks, 132 unit executions, 525 Backend passes / 2 expected skips. Live acceptance open.</x:t>
        </x:is>
      </x:c>
    </x:row>
    <row xmlns="http://schemas.openxmlformats.org/spreadsheetml/2006/main" r="38" ht="135" customHeight="1">
      <c r="A38" s="1" t="inlineStr">
        <is>
          <t>S33</t>
        </is>
      </c>
      <c r="B38" s="1" t="inlineStr">
        <is>
          <t>C:/NIHILOBA/nihiloba-website/docs/restaurants-receiving-2026-10-15.md</t>
        </is>
      </c>
      <c r="C38" s="1" t="inlineStr">
        <is>
          <t>52 production-browser cases; 116 Website unit and 253 Backend executions pass. Release Partial; live acceptance and reusable schedules open.</t>
        </is>
      </c>
    </row>
    <row xmlns="http://schemas.openxmlformats.org/spreadsheetml/2006/main" r="39" ht="225" customHeight="1">
      <c r="A39" s="26" t="str">
        <v>S34</v>
      </c>
      <c r="B39" s="26" t="str">
        <v>C:/NIHILOBA/nihiloba-website/docs/restaurants-schedules-2026-10-15.md</v>
      </c>
      <c r="C39" s="26" t="str">
        <v>Partial. Migration 0165 after existing Services 0164. Exact checks and open live gates in the linked handoff.</v>
      </c>
    </row>
  </x:sheetData>
  <x:pageMargins left="0.7" right="0.7" top="0.75" bottom="0.75" header="0.3" footer="0.3"/>
</x:worksheet>
</file>